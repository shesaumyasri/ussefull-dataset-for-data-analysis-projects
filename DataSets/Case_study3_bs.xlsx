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0"/>
  <workbookPr defaultThemeVersion="202300"/>
  <mc:AlternateContent xmlns:mc="http://schemas.openxmlformats.org/markup-compatibility/2006">
    <mc:Choice Requires="x15">
      <x15ac:absPath xmlns:x15ac="http://schemas.microsoft.com/office/spreadsheetml/2010/11/ac" url="/Users/saumya.srivastava/Downloads/"/>
    </mc:Choice>
  </mc:AlternateContent>
  <xr:revisionPtr revIDLastSave="0" documentId="13_ncr:1_{4C761BEA-0E78-8C4E-B5EB-D883248EE04C}" xr6:coauthVersionLast="47" xr6:coauthVersionMax="47" xr10:uidLastSave="{00000000-0000-0000-0000-000000000000}"/>
  <bookViews>
    <workbookView xWindow="0" yWindow="740" windowWidth="34560" windowHeight="21600" xr2:uid="{12A681D1-62E9-1440-BD98-0CEE0F66A692}"/>
  </bookViews>
  <sheets>
    <sheet name="Sales_Transactions" sheetId="1" r:id="rId1"/>
    <sheet name="Product_Details" sheetId="2" r:id="rId2"/>
    <sheet name="Case Study" sheetId="3" r:id="rId3"/>
  </sheets>
  <definedNames>
    <definedName name="_xlnm._FilterDatabase" localSheetId="0" hidden="1">Sales_Transactions!$D$70:$F$72</definedName>
  </definedNames>
  <calcPr calcId="191029"/>
  <pivotCaches>
    <pivotCache cacheId="5" r:id="rId4"/>
    <pivotCache cacheId="9" r:id="rId5"/>
    <pivotCache cacheId="18" r:id="rId6"/>
    <pivotCache cacheId="22" r:id="rId7"/>
    <pivotCache cacheId="28" r:id="rId8"/>
    <pivotCache cacheId="32" r:id="rId9"/>
    <pivotCache cacheId="36" r:id="rId10"/>
    <pivotCache cacheId="40" r:id="rId11"/>
    <pivotCache cacheId="45" r:id="rId12"/>
    <pivotCache cacheId="49" r:id="rId13"/>
    <pivotCache cacheId="55" r:id="rId14"/>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3" i="1" l="1"/>
  <c r="S4" i="1"/>
  <c r="S5" i="1"/>
  <c r="S6" i="1"/>
  <c r="S7" i="1"/>
  <c r="S8" i="1"/>
  <c r="S9" i="1"/>
  <c r="S10" i="1"/>
  <c r="S11" i="1"/>
  <c r="S12" i="1"/>
  <c r="S13" i="1"/>
  <c r="S14" i="1"/>
  <c r="S15" i="1"/>
  <c r="S16" i="1"/>
  <c r="S17" i="1"/>
  <c r="S18" i="1"/>
  <c r="S19" i="1"/>
  <c r="S20" i="1"/>
  <c r="S21" i="1"/>
  <c r="S22" i="1"/>
  <c r="S23" i="1"/>
  <c r="S24" i="1"/>
  <c r="S25" i="1"/>
  <c r="S26" i="1"/>
  <c r="S2" i="1"/>
  <c r="R3" i="1"/>
  <c r="R4" i="1"/>
  <c r="R5" i="1"/>
  <c r="R6" i="1"/>
  <c r="R7" i="1"/>
  <c r="R8" i="1"/>
  <c r="R9" i="1"/>
  <c r="R10" i="1"/>
  <c r="R11" i="1"/>
  <c r="R12" i="1"/>
  <c r="R13" i="1"/>
  <c r="R14" i="1"/>
  <c r="R15" i="1"/>
  <c r="R16" i="1"/>
  <c r="R17" i="1"/>
  <c r="R18" i="1"/>
  <c r="R19" i="1"/>
  <c r="R20" i="1"/>
  <c r="R21" i="1"/>
  <c r="R22" i="1"/>
  <c r="R23" i="1"/>
  <c r="R24" i="1"/>
  <c r="R25" i="1"/>
  <c r="R26" i="1"/>
  <c r="R2" i="1"/>
  <c r="Q3" i="1"/>
  <c r="Q4" i="1"/>
  <c r="Q5" i="1"/>
  <c r="Q6" i="1"/>
  <c r="Q7" i="1"/>
  <c r="Q8" i="1"/>
  <c r="Q9" i="1"/>
  <c r="Q10" i="1"/>
  <c r="Q11" i="1"/>
  <c r="Q12" i="1"/>
  <c r="Q13" i="1"/>
  <c r="Q14" i="1"/>
  <c r="Q15" i="1"/>
  <c r="Q16" i="1"/>
  <c r="Q17" i="1"/>
  <c r="Q18" i="1"/>
  <c r="Q19" i="1"/>
  <c r="Q20" i="1"/>
  <c r="Q21" i="1"/>
  <c r="Q22" i="1"/>
  <c r="Q23" i="1"/>
  <c r="Q24" i="1"/>
  <c r="Q25" i="1"/>
  <c r="Q26" i="1"/>
  <c r="Q2" i="1"/>
  <c r="P2" i="1"/>
  <c r="P3" i="1"/>
  <c r="P4" i="1"/>
  <c r="P5" i="1"/>
  <c r="P6" i="1"/>
  <c r="P7" i="1"/>
  <c r="P8" i="1"/>
  <c r="P9" i="1"/>
  <c r="P10" i="1"/>
  <c r="P11" i="1"/>
  <c r="P12" i="1"/>
  <c r="P13" i="1"/>
  <c r="P14" i="1"/>
  <c r="P15" i="1"/>
  <c r="P16" i="1"/>
  <c r="P17" i="1"/>
  <c r="P18" i="1"/>
  <c r="P19" i="1"/>
  <c r="P20" i="1"/>
  <c r="P21" i="1"/>
  <c r="P22" i="1"/>
  <c r="P23" i="1"/>
  <c r="P24" i="1"/>
  <c r="P25" i="1"/>
  <c r="P26" i="1"/>
  <c r="I32" i="1"/>
  <c r="I31" i="1"/>
  <c r="C30" i="1" a="1"/>
  <c r="C30" i="1" s="1"/>
  <c r="C40" i="1" s="1"/>
  <c r="M2" i="1"/>
  <c r="O2" i="1" s="1"/>
  <c r="N3" i="1"/>
  <c r="N4" i="1"/>
  <c r="N5" i="1"/>
  <c r="N6" i="1"/>
  <c r="N7" i="1"/>
  <c r="N8" i="1"/>
  <c r="N9" i="1"/>
  <c r="N10" i="1"/>
  <c r="N11" i="1"/>
  <c r="N12" i="1"/>
  <c r="N13" i="1"/>
  <c r="N14" i="1"/>
  <c r="N15" i="1"/>
  <c r="N16" i="1"/>
  <c r="N17" i="1"/>
  <c r="N18" i="1"/>
  <c r="N19" i="1"/>
  <c r="N20" i="1"/>
  <c r="N21" i="1"/>
  <c r="N22" i="1"/>
  <c r="N23" i="1"/>
  <c r="N24" i="1"/>
  <c r="N25" i="1"/>
  <c r="N26" i="1"/>
  <c r="N2" i="1"/>
  <c r="M3" i="1"/>
  <c r="O3" i="1" s="1"/>
  <c r="M4" i="1"/>
  <c r="O4" i="1" s="1"/>
  <c r="M5" i="1"/>
  <c r="O5" i="1" s="1"/>
  <c r="M6" i="1"/>
  <c r="O6" i="1" s="1"/>
  <c r="M7" i="1"/>
  <c r="O7" i="1" s="1"/>
  <c r="M8" i="1"/>
  <c r="O8" i="1" s="1"/>
  <c r="M9" i="1"/>
  <c r="M10" i="1"/>
  <c r="O10" i="1" s="1"/>
  <c r="M11" i="1"/>
  <c r="O11" i="1" s="1"/>
  <c r="M12" i="1"/>
  <c r="M13" i="1"/>
  <c r="O13" i="1" s="1"/>
  <c r="M14" i="1"/>
  <c r="O14" i="1" s="1"/>
  <c r="M15" i="1"/>
  <c r="O15" i="1" s="1"/>
  <c r="M16" i="1"/>
  <c r="O16" i="1" s="1"/>
  <c r="M17" i="1"/>
  <c r="O17" i="1" s="1"/>
  <c r="M18" i="1"/>
  <c r="O18" i="1" s="1"/>
  <c r="M19" i="1"/>
  <c r="M20" i="1"/>
  <c r="O20" i="1" s="1"/>
  <c r="M21" i="1"/>
  <c r="O21" i="1" s="1"/>
  <c r="M22" i="1"/>
  <c r="M23" i="1"/>
  <c r="O23" i="1" s="1"/>
  <c r="M24" i="1"/>
  <c r="O24" i="1" s="1"/>
  <c r="M25" i="1"/>
  <c r="O25" i="1" s="1"/>
  <c r="M26" i="1"/>
  <c r="O26" i="1" s="1"/>
  <c r="O22" i="1" l="1"/>
  <c r="O12" i="1"/>
  <c r="O9" i="1"/>
  <c r="O19" i="1"/>
  <c r="M28" i="1"/>
  <c r="M27"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<sst xmlns="http://schemas.openxmlformats.org/spreadsheetml/2006/main" count="355" uniqueCount="115">
  <si>
    <t>OrderID</t>
  </si>
  <si>
    <t>CustomerID</t>
  </si>
  <si>
    <t>ProductID</t>
  </si>
  <si>
    <t>OrderDate</t>
  </si>
  <si>
    <t>Quantity</t>
  </si>
  <si>
    <t>UnitPrice</t>
  </si>
  <si>
    <t>Discount</t>
  </si>
  <si>
    <t>Region</t>
  </si>
  <si>
    <t>Salesperson</t>
  </si>
  <si>
    <t>DeliveryStatus</t>
  </si>
  <si>
    <t>PaymentMethod</t>
  </si>
  <si>
    <t>ProfitMargin</t>
  </si>
  <si>
    <t>C001</t>
  </si>
  <si>
    <t>P005</t>
  </si>
  <si>
    <t>North</t>
  </si>
  <si>
    <t>Alice</t>
  </si>
  <si>
    <t>Delivered</t>
  </si>
  <si>
    <t>Credit Card</t>
  </si>
  <si>
    <t>C002</t>
  </si>
  <si>
    <t>P002</t>
  </si>
  <si>
    <t>South</t>
  </si>
  <si>
    <t>Bob</t>
  </si>
  <si>
    <t>Pending</t>
  </si>
  <si>
    <t>Bank Transfer</t>
  </si>
  <si>
    <t>C003</t>
  </si>
  <si>
    <t>P008</t>
  </si>
  <si>
    <t>East</t>
  </si>
  <si>
    <t>Carol</t>
  </si>
  <si>
    <t>Cash</t>
  </si>
  <si>
    <t>C004</t>
  </si>
  <si>
    <t>P001</t>
  </si>
  <si>
    <t>West</t>
  </si>
  <si>
    <t>David</t>
  </si>
  <si>
    <t>P003</t>
  </si>
  <si>
    <t>C005</t>
  </si>
  <si>
    <t>P006</t>
  </si>
  <si>
    <t>Debit Card</t>
  </si>
  <si>
    <t>C006</t>
  </si>
  <si>
    <t>P009</t>
  </si>
  <si>
    <t>C007</t>
  </si>
  <si>
    <t>P004</t>
  </si>
  <si>
    <t>P007</t>
  </si>
  <si>
    <t>C008</t>
  </si>
  <si>
    <t>C009</t>
  </si>
  <si>
    <t>C010</t>
  </si>
  <si>
    <t>ProductName</t>
  </si>
  <si>
    <t>Category</t>
  </si>
  <si>
    <t>Supplier</t>
  </si>
  <si>
    <t>CostPrice</t>
  </si>
  <si>
    <t>RetailPrice</t>
  </si>
  <si>
    <t>Laptop Pro</t>
  </si>
  <si>
    <t>Electronics</t>
  </si>
  <si>
    <t>TechCorp</t>
  </si>
  <si>
    <t>Wireless Mouse</t>
  </si>
  <si>
    <t>Ergonomic Chair</t>
  </si>
  <si>
    <t>Office Furniture</t>
  </si>
  <si>
    <t>FurniMart</t>
  </si>
  <si>
    <t>Noise-Cancelling Headphones</t>
  </si>
  <si>
    <t>AudioMax</t>
  </si>
  <si>
    <t>Mechanical Keyboard</t>
  </si>
  <si>
    <t>Desk Lamp</t>
  </si>
  <si>
    <t>LightCo</t>
  </si>
  <si>
    <t>Webcam HD</t>
  </si>
  <si>
    <t>Pen Set Premium</t>
  </si>
  <si>
    <t>Office Supplies</t>
  </si>
  <si>
    <t>StationeryPlus</t>
  </si>
  <si>
    <t>Notebook (A4)</t>
  </si>
  <si>
    <t>P010</t>
  </si>
  <si>
    <t>External SSD</t>
  </si>
  <si>
    <t>Section 1: Basic Calculations &amp; Data Understanding</t>
  </si>
  <si>
    <r>
      <t>Total Revenue:</t>
    </r>
    <r>
      <rPr>
        <sz val="12"/>
        <color theme="1"/>
        <rFont val="Aptos Narrow"/>
        <family val="2"/>
        <scheme val="minor"/>
      </rPr>
      <t xml:space="preserve"> Calculate the total revenue generated from all sales. (Hint: </t>
    </r>
    <r>
      <rPr>
        <sz val="10"/>
        <color theme="1"/>
        <rFont val="Arial Unicode MS"/>
        <family val="2"/>
      </rPr>
      <t>Quantity * UnitPrice * (1 - Discount)</t>
    </r>
    <r>
      <rPr>
        <sz val="12"/>
        <color theme="1"/>
        <rFont val="Aptos Narrow"/>
        <family val="2"/>
        <scheme val="minor"/>
      </rPr>
      <t xml:space="preserve"> for each order line item, then sum).</t>
    </r>
  </si>
  <si>
    <r>
      <t>Net Profit:</t>
    </r>
    <r>
      <rPr>
        <sz val="12"/>
        <color theme="1"/>
        <rFont val="Aptos Narrow"/>
        <family val="2"/>
        <scheme val="minor"/>
      </rPr>
      <t xml:space="preserve"> Calculate the total net profit. (Hint: You'll need to join data from both sheets. </t>
    </r>
    <r>
      <rPr>
        <sz val="10"/>
        <color theme="1"/>
        <rFont val="Arial Unicode MS"/>
        <family val="2"/>
      </rPr>
      <t>Net Profit per Item = (UnitPrice * (1 - Discount) - CostPrice) * Quantity</t>
    </r>
    <r>
      <rPr>
        <sz val="12"/>
        <color theme="1"/>
        <rFont val="Aptos Narrow"/>
        <family val="2"/>
        <scheme val="minor"/>
      </rPr>
      <t>. Sum this for all items).</t>
    </r>
  </si>
  <si>
    <r>
      <t>Average Order Value:</t>
    </r>
    <r>
      <rPr>
        <sz val="12"/>
        <color theme="1"/>
        <rFont val="Aptos Narrow"/>
        <family val="2"/>
        <scheme val="minor"/>
      </rPr>
      <t xml:space="preserve"> What is the average value of an order (after discount)?</t>
    </r>
  </si>
  <si>
    <r>
      <t>Number of Unique Customers:</t>
    </r>
    <r>
      <rPr>
        <sz val="12"/>
        <color theme="1"/>
        <rFont val="Aptos Narrow"/>
        <family val="2"/>
        <scheme val="minor"/>
      </rPr>
      <t xml:space="preserve"> How many unique customers have placed an order?</t>
    </r>
  </si>
  <si>
    <r>
      <t>Most Frequent Payment Method:</t>
    </r>
    <r>
      <rPr>
        <sz val="12"/>
        <color theme="1"/>
        <rFont val="Aptos Narrow"/>
        <family val="2"/>
        <scheme val="minor"/>
      </rPr>
      <t xml:space="preserve"> Which payment method is used most frequently by customers?</t>
    </r>
  </si>
  <si>
    <r>
      <t>Orders by Delivery Status:</t>
    </r>
    <r>
      <rPr>
        <sz val="12"/>
        <color theme="1"/>
        <rFont val="Aptos Narrow"/>
        <family val="2"/>
        <scheme val="minor"/>
      </rPr>
      <t xml:space="preserve"> What is the count of orders for each </t>
    </r>
    <r>
      <rPr>
        <sz val="10"/>
        <color theme="1"/>
        <rFont val="Arial Unicode MS"/>
        <family val="2"/>
      </rPr>
      <t>DeliveryStatus</t>
    </r>
    <r>
      <rPr>
        <sz val="12"/>
        <color theme="1"/>
        <rFont val="Aptos Narrow"/>
        <family val="2"/>
        <scheme val="minor"/>
      </rPr>
      <t xml:space="preserve"> (Delivered, Pending)?</t>
    </r>
  </si>
  <si>
    <t>Section 2: Lookups &amp; Data Combination</t>
  </si>
  <si>
    <r>
      <t>Add Product Details to Sales:</t>
    </r>
    <r>
      <rPr>
        <sz val="12"/>
        <color theme="1"/>
        <rFont val="Aptos Narrow"/>
        <family val="2"/>
        <scheme val="minor"/>
      </rPr>
      <t xml:space="preserve"> In the </t>
    </r>
    <r>
      <rPr>
        <sz val="10"/>
        <color theme="1"/>
        <rFont val="Arial Unicode MS"/>
        <family val="2"/>
      </rPr>
      <t>Sales_Transactions</t>
    </r>
    <r>
      <rPr>
        <sz val="12"/>
        <color theme="1"/>
        <rFont val="Aptos Narrow"/>
        <family val="2"/>
        <scheme val="minor"/>
      </rPr>
      <t xml:space="preserve"> sheet, add new columns for </t>
    </r>
    <r>
      <rPr>
        <sz val="10"/>
        <color theme="1"/>
        <rFont val="Arial Unicode MS"/>
        <family val="2"/>
      </rPr>
      <t>ProductName</t>
    </r>
    <r>
      <rPr>
        <sz val="12"/>
        <color theme="1"/>
        <rFont val="Aptos Narrow"/>
        <family val="2"/>
        <scheme val="minor"/>
      </rPr>
      <t xml:space="preserve">, </t>
    </r>
    <r>
      <rPr>
        <sz val="10"/>
        <color theme="1"/>
        <rFont val="Arial Unicode MS"/>
        <family val="2"/>
      </rPr>
      <t>Category</t>
    </r>
    <r>
      <rPr>
        <sz val="12"/>
        <color theme="1"/>
        <rFont val="Aptos Narrow"/>
        <family val="2"/>
        <scheme val="minor"/>
      </rPr>
      <t xml:space="preserve">, </t>
    </r>
    <r>
      <rPr>
        <sz val="10"/>
        <color theme="1"/>
        <rFont val="Arial Unicode MS"/>
        <family val="2"/>
      </rPr>
      <t>Supplier</t>
    </r>
    <r>
      <rPr>
        <sz val="12"/>
        <color theme="1"/>
        <rFont val="Aptos Narrow"/>
        <family val="2"/>
        <scheme val="minor"/>
      </rPr>
      <t xml:space="preserve">, </t>
    </r>
    <r>
      <rPr>
        <sz val="10"/>
        <color theme="1"/>
        <rFont val="Arial Unicode MS"/>
        <family val="2"/>
      </rPr>
      <t>CostPrice</t>
    </r>
    <r>
      <rPr>
        <sz val="12"/>
        <color theme="1"/>
        <rFont val="Aptos Narrow"/>
        <family val="2"/>
        <scheme val="minor"/>
      </rPr>
      <t xml:space="preserve">, and </t>
    </r>
    <r>
      <rPr>
        <sz val="10"/>
        <color theme="1"/>
        <rFont val="Arial Unicode MS"/>
        <family val="2"/>
      </rPr>
      <t>RetailPrice</t>
    </r>
    <r>
      <rPr>
        <sz val="12"/>
        <color theme="1"/>
        <rFont val="Aptos Narrow"/>
        <family val="2"/>
        <scheme val="minor"/>
      </rPr>
      <t xml:space="preserve"> by using </t>
    </r>
    <r>
      <rPr>
        <sz val="10"/>
        <color theme="1"/>
        <rFont val="Arial Unicode MS"/>
        <family val="2"/>
      </rPr>
      <t>ProductID</t>
    </r>
    <r>
      <rPr>
        <sz val="12"/>
        <color theme="1"/>
        <rFont val="Aptos Narrow"/>
        <family val="2"/>
        <scheme val="minor"/>
      </rPr>
      <t xml:space="preserve"> to lookup information from the </t>
    </r>
    <r>
      <rPr>
        <sz val="10"/>
        <color theme="1"/>
        <rFont val="Arial Unicode MS"/>
        <family val="2"/>
      </rPr>
      <t>Product_Details</t>
    </r>
    <r>
      <rPr>
        <sz val="12"/>
        <color theme="1"/>
        <rFont val="Aptos Narrow"/>
        <family val="2"/>
        <scheme val="minor"/>
      </rPr>
      <t xml:space="preserve"> sheet.</t>
    </r>
  </si>
  <si>
    <r>
      <t xml:space="preserve">Calculate </t>
    </r>
    <r>
      <rPr>
        <b/>
        <sz val="10"/>
        <color theme="1"/>
        <rFont val="Arial Unicode MS"/>
        <family val="2"/>
      </rPr>
      <t>Total_Sale_Price</t>
    </r>
    <r>
      <rPr>
        <b/>
        <sz val="12"/>
        <color theme="1"/>
        <rFont val="Aptos Narrow"/>
        <family val="2"/>
        <scheme val="minor"/>
      </rPr>
      <t>:</t>
    </r>
    <r>
      <rPr>
        <sz val="12"/>
        <color theme="1"/>
        <rFont val="Aptos Narrow"/>
        <family val="2"/>
        <scheme val="minor"/>
      </rPr>
      <t xml:space="preserve"> For each transaction in </t>
    </r>
    <r>
      <rPr>
        <sz val="10"/>
        <color theme="1"/>
        <rFont val="Arial Unicode MS"/>
        <family val="2"/>
      </rPr>
      <t>Sales_Transactions</t>
    </r>
    <r>
      <rPr>
        <sz val="12"/>
        <color theme="1"/>
        <rFont val="Aptos Narrow"/>
        <family val="2"/>
        <scheme val="minor"/>
      </rPr>
      <t xml:space="preserve">, calculate the </t>
    </r>
    <r>
      <rPr>
        <sz val="10"/>
        <color theme="1"/>
        <rFont val="Arial Unicode MS"/>
        <family val="2"/>
      </rPr>
      <t>Total_Sale_Price</t>
    </r>
    <r>
      <rPr>
        <sz val="12"/>
        <color theme="1"/>
        <rFont val="Aptos Narrow"/>
        <family val="2"/>
        <scheme val="minor"/>
      </rPr>
      <t xml:space="preserve"> after applying the discount (</t>
    </r>
    <r>
      <rPr>
        <sz val="10"/>
        <color theme="1"/>
        <rFont val="Arial Unicode MS"/>
        <family val="2"/>
      </rPr>
      <t>Quantity * UnitPrice * (1 - Discount)</t>
    </r>
    <r>
      <rPr>
        <sz val="12"/>
        <color theme="1"/>
        <rFont val="Aptos Narrow"/>
        <family val="2"/>
        <scheme val="minor"/>
      </rPr>
      <t>).</t>
    </r>
  </si>
  <si>
    <r>
      <t xml:space="preserve">Calculate </t>
    </r>
    <r>
      <rPr>
        <b/>
        <sz val="10"/>
        <color theme="1"/>
        <rFont val="Arial Unicode MS"/>
        <family val="2"/>
      </rPr>
      <t>Total_Cost_Price</t>
    </r>
    <r>
      <rPr>
        <b/>
        <sz val="12"/>
        <color theme="1"/>
        <rFont val="Aptos Narrow"/>
        <family val="2"/>
        <scheme val="minor"/>
      </rPr>
      <t>:</t>
    </r>
    <r>
      <rPr>
        <sz val="12"/>
        <color theme="1"/>
        <rFont val="Aptos Narrow"/>
        <family val="2"/>
        <scheme val="minor"/>
      </rPr>
      <t xml:space="preserve"> For each transaction, calculate the </t>
    </r>
    <r>
      <rPr>
        <sz val="10"/>
        <color theme="1"/>
        <rFont val="Arial Unicode MS"/>
        <family val="2"/>
      </rPr>
      <t>Total_Cost_Price</t>
    </r>
    <r>
      <rPr>
        <sz val="12"/>
        <color theme="1"/>
        <rFont val="Aptos Narrow"/>
        <family val="2"/>
        <scheme val="minor"/>
      </rPr>
      <t xml:space="preserve"> (</t>
    </r>
    <r>
      <rPr>
        <sz val="10"/>
        <color theme="1"/>
        <rFont val="Arial Unicode MS"/>
        <family val="2"/>
      </rPr>
      <t>Quantity * CostPrice</t>
    </r>
    <r>
      <rPr>
        <sz val="12"/>
        <color theme="1"/>
        <rFont val="Aptos Narrow"/>
        <family val="2"/>
        <scheme val="minor"/>
      </rPr>
      <t>).</t>
    </r>
  </si>
  <si>
    <r>
      <t xml:space="preserve">Calculate </t>
    </r>
    <r>
      <rPr>
        <b/>
        <sz val="10"/>
        <color theme="1"/>
        <rFont val="Arial Unicode MS"/>
        <family val="2"/>
      </rPr>
      <t>Transaction_Profit</t>
    </r>
    <r>
      <rPr>
        <b/>
        <sz val="12"/>
        <color theme="1"/>
        <rFont val="Aptos Narrow"/>
        <family val="2"/>
        <scheme val="minor"/>
      </rPr>
      <t>:</t>
    </r>
    <r>
      <rPr>
        <sz val="12"/>
        <color theme="1"/>
        <rFont val="Aptos Narrow"/>
        <family val="2"/>
        <scheme val="minor"/>
      </rPr>
      <t xml:space="preserve"> For each transaction, calculate the </t>
    </r>
    <r>
      <rPr>
        <sz val="10"/>
        <color theme="1"/>
        <rFont val="Arial Unicode MS"/>
        <family val="2"/>
      </rPr>
      <t>Transaction_Profit</t>
    </r>
    <r>
      <rPr>
        <sz val="12"/>
        <color theme="1"/>
        <rFont val="Aptos Narrow"/>
        <family val="2"/>
        <scheme val="minor"/>
      </rPr>
      <t xml:space="preserve"> (</t>
    </r>
    <r>
      <rPr>
        <sz val="10"/>
        <color theme="1"/>
        <rFont val="Arial Unicode MS"/>
        <family val="2"/>
      </rPr>
      <t>Total_Sale_Price - Total_Cost_Price</t>
    </r>
    <r>
      <rPr>
        <sz val="12"/>
        <color theme="1"/>
        <rFont val="Aptos Narrow"/>
        <family val="2"/>
        <scheme val="minor"/>
      </rPr>
      <t>).</t>
    </r>
  </si>
  <si>
    <t>Section 3: Pivot Tables &amp; Summarization</t>
  </si>
  <si>
    <r>
      <t>Sales by Region:</t>
    </r>
    <r>
      <rPr>
        <sz val="12"/>
        <color theme="1"/>
        <rFont val="Aptos Narrow"/>
        <family val="2"/>
        <scheme val="minor"/>
      </rPr>
      <t xml:space="preserve"> Create a pivot table showing the </t>
    </r>
    <r>
      <rPr>
        <sz val="10"/>
        <color theme="1"/>
        <rFont val="Arial Unicode MS"/>
        <family val="2"/>
      </rPr>
      <t>Total Revenue</t>
    </r>
    <r>
      <rPr>
        <sz val="12"/>
        <color theme="1"/>
        <rFont val="Aptos Narrow"/>
        <family val="2"/>
        <scheme val="minor"/>
      </rPr>
      <t xml:space="preserve"> for each </t>
    </r>
    <r>
      <rPr>
        <sz val="10"/>
        <color theme="1"/>
        <rFont val="Arial Unicode MS"/>
        <family val="2"/>
      </rPr>
      <t>Region</t>
    </r>
    <r>
      <rPr>
        <sz val="12"/>
        <color theme="1"/>
        <rFont val="Aptos Narrow"/>
        <family val="2"/>
        <scheme val="minor"/>
      </rPr>
      <t>. Visualize this with a Column Chart.</t>
    </r>
  </si>
  <si>
    <r>
      <t>Sales by Salesperson:</t>
    </r>
    <r>
      <rPr>
        <sz val="12"/>
        <color theme="1"/>
        <rFont val="Aptos Narrow"/>
        <family val="2"/>
        <scheme val="minor"/>
      </rPr>
      <t xml:space="preserve"> Create a pivot table showing the </t>
    </r>
    <r>
      <rPr>
        <sz val="10"/>
        <color theme="1"/>
        <rFont val="Arial Unicode MS"/>
        <family val="2"/>
      </rPr>
      <t>Total Revenue</t>
    </r>
    <r>
      <rPr>
        <sz val="12"/>
        <color theme="1"/>
        <rFont val="Aptos Narrow"/>
        <family val="2"/>
        <scheme val="minor"/>
      </rPr>
      <t xml:space="preserve"> generated by each </t>
    </r>
    <r>
      <rPr>
        <sz val="10"/>
        <color theme="1"/>
        <rFont val="Arial Unicode MS"/>
        <family val="2"/>
      </rPr>
      <t>Salesperson</t>
    </r>
    <r>
      <rPr>
        <sz val="12"/>
        <color theme="1"/>
        <rFont val="Aptos Narrow"/>
        <family val="2"/>
        <scheme val="minor"/>
      </rPr>
      <t>. Who is the top performer by revenue?</t>
    </r>
  </si>
  <si>
    <r>
      <t>Profitability by Category:</t>
    </r>
    <r>
      <rPr>
        <sz val="12"/>
        <color theme="1"/>
        <rFont val="Aptos Narrow"/>
        <family val="2"/>
        <scheme val="minor"/>
      </rPr>
      <t xml:space="preserve"> Create a pivot table to analyze the </t>
    </r>
    <r>
      <rPr>
        <sz val="10"/>
        <color theme="1"/>
        <rFont val="Arial Unicode MS"/>
        <family val="2"/>
      </rPr>
      <t>Total_Profit</t>
    </r>
    <r>
      <rPr>
        <sz val="12"/>
        <color theme="1"/>
        <rFont val="Aptos Narrow"/>
        <family val="2"/>
        <scheme val="minor"/>
      </rPr>
      <t xml:space="preserve"> for each </t>
    </r>
    <r>
      <rPr>
        <sz val="10"/>
        <color theme="1"/>
        <rFont val="Arial Unicode MS"/>
        <family val="2"/>
      </rPr>
      <t>Category</t>
    </r>
    <r>
      <rPr>
        <sz val="12"/>
        <color theme="1"/>
        <rFont val="Aptos Narrow"/>
        <family val="2"/>
        <scheme val="minor"/>
      </rPr>
      <t>. Which category is most profitable?</t>
    </r>
  </si>
  <si>
    <r>
      <t>Monthly Sales Trend:</t>
    </r>
    <r>
      <rPr>
        <sz val="12"/>
        <color theme="1"/>
        <rFont val="Aptos Narrow"/>
        <family val="2"/>
        <scheme val="minor"/>
      </rPr>
      <t xml:space="preserve"> Create a pivot table to show the </t>
    </r>
    <r>
      <rPr>
        <sz val="10"/>
        <color theme="1"/>
        <rFont val="Arial Unicode MS"/>
        <family val="2"/>
      </rPr>
      <t>Total Revenue</t>
    </r>
    <r>
      <rPr>
        <sz val="12"/>
        <color theme="1"/>
        <rFont val="Aptos Narrow"/>
        <family val="2"/>
        <scheme val="minor"/>
      </rPr>
      <t xml:space="preserve"> broken down by month (using </t>
    </r>
    <r>
      <rPr>
        <sz val="10"/>
        <color theme="1"/>
        <rFont val="Arial Unicode MS"/>
        <family val="2"/>
      </rPr>
      <t>OrderDate</t>
    </r>
    <r>
      <rPr>
        <sz val="12"/>
        <color theme="1"/>
        <rFont val="Aptos Narrow"/>
        <family val="2"/>
        <scheme val="minor"/>
      </rPr>
      <t>). How has sales performance changed month-over-month? Visualize this with a Line Chart.</t>
    </r>
  </si>
  <si>
    <r>
      <t>Top 5 Products by Revenue:</t>
    </r>
    <r>
      <rPr>
        <sz val="12"/>
        <color theme="1"/>
        <rFont val="Aptos Narrow"/>
        <family val="2"/>
        <scheme val="minor"/>
      </rPr>
      <t xml:space="preserve"> Using a pivot table or sorting, identify the top 5 </t>
    </r>
    <r>
      <rPr>
        <sz val="10"/>
        <color theme="1"/>
        <rFont val="Arial Unicode MS"/>
        <family val="2"/>
      </rPr>
      <t>ProductName</t>
    </r>
    <r>
      <rPr>
        <sz val="12"/>
        <color theme="1"/>
        <rFont val="Aptos Narrow"/>
        <family val="2"/>
        <scheme val="minor"/>
      </rPr>
      <t xml:space="preserve"> by </t>
    </r>
    <r>
      <rPr>
        <sz val="10"/>
        <color theme="1"/>
        <rFont val="Arial Unicode MS"/>
        <family val="2"/>
      </rPr>
      <t>Total Revenue</t>
    </r>
    <r>
      <rPr>
        <sz val="12"/>
        <color theme="1"/>
        <rFont val="Aptos Narrow"/>
        <family val="2"/>
        <scheme val="minor"/>
      </rPr>
      <t>.</t>
    </r>
  </si>
  <si>
    <r>
      <t>Average Profit Margin by Product:</t>
    </r>
    <r>
      <rPr>
        <sz val="12"/>
        <color theme="1"/>
        <rFont val="Aptos Narrow"/>
        <family val="2"/>
        <scheme val="minor"/>
      </rPr>
      <t xml:space="preserve"> Calculate the average </t>
    </r>
    <r>
      <rPr>
        <sz val="10"/>
        <color theme="1"/>
        <rFont val="Arial Unicode MS"/>
        <family val="2"/>
      </rPr>
      <t>ProfitMargin</t>
    </r>
    <r>
      <rPr>
        <sz val="12"/>
        <color theme="1"/>
        <rFont val="Aptos Narrow"/>
        <family val="2"/>
        <scheme val="minor"/>
      </rPr>
      <t xml:space="preserve"> for each </t>
    </r>
    <r>
      <rPr>
        <sz val="10"/>
        <color theme="1"/>
        <rFont val="Arial Unicode MS"/>
        <family val="2"/>
      </rPr>
      <t>ProductName</t>
    </r>
    <r>
      <rPr>
        <sz val="12"/>
        <color theme="1"/>
        <rFont val="Aptos Narrow"/>
        <family val="2"/>
        <scheme val="minor"/>
      </rPr>
      <t>.</t>
    </r>
  </si>
  <si>
    <r>
      <t>Pending Orders by Region:</t>
    </r>
    <r>
      <rPr>
        <sz val="12"/>
        <color theme="1"/>
        <rFont val="Aptos Narrow"/>
        <family val="2"/>
        <scheme val="minor"/>
      </rPr>
      <t xml:space="preserve"> Create a pivot table showing the count of </t>
    </r>
    <r>
      <rPr>
        <sz val="10"/>
        <color theme="1"/>
        <rFont val="Arial Unicode MS"/>
        <family val="2"/>
      </rPr>
      <t>Pending</t>
    </r>
    <r>
      <rPr>
        <sz val="12"/>
        <color theme="1"/>
        <rFont val="Aptos Narrow"/>
        <family val="2"/>
        <scheme val="minor"/>
      </rPr>
      <t xml:space="preserve"> orders for each </t>
    </r>
    <r>
      <rPr>
        <sz val="10"/>
        <color theme="1"/>
        <rFont val="Arial Unicode MS"/>
        <family val="2"/>
      </rPr>
      <t>Region</t>
    </r>
    <r>
      <rPr>
        <sz val="12"/>
        <color theme="1"/>
        <rFont val="Aptos Narrow"/>
        <family val="2"/>
        <scheme val="minor"/>
      </rPr>
      <t>.</t>
    </r>
  </si>
  <si>
    <r>
      <t>Discount Impact:</t>
    </r>
    <r>
      <rPr>
        <sz val="12"/>
        <color theme="1"/>
        <rFont val="Aptos Narrow"/>
        <family val="2"/>
        <scheme val="minor"/>
      </rPr>
      <t xml:space="preserve"> Analyze the average </t>
    </r>
    <r>
      <rPr>
        <sz val="10"/>
        <color theme="1"/>
        <rFont val="Arial Unicode MS"/>
        <family val="2"/>
      </rPr>
      <t>Discount</t>
    </r>
    <r>
      <rPr>
        <sz val="12"/>
        <color theme="1"/>
        <rFont val="Aptos Narrow"/>
        <family val="2"/>
        <scheme val="minor"/>
      </rPr>
      <t xml:space="preserve"> applied across all orders. Are there any patterns in discount usage (e.g., by region, product category)? (This might require a pivot table or filtering).</t>
    </r>
  </si>
  <si>
    <r>
      <t>Customer Spending Habits:</t>
    </r>
    <r>
      <rPr>
        <sz val="12"/>
        <color theme="1"/>
        <rFont val="Aptos Narrow"/>
        <family val="2"/>
        <scheme val="minor"/>
      </rPr>
      <t xml:space="preserve"> Identify the </t>
    </r>
    <r>
      <rPr>
        <sz val="10"/>
        <color theme="1"/>
        <rFont val="Arial Unicode MS"/>
        <family val="2"/>
      </rPr>
      <t>CustomerID</t>
    </r>
    <r>
      <rPr>
        <sz val="12"/>
        <color theme="1"/>
        <rFont val="Aptos Narrow"/>
        <family val="2"/>
        <scheme val="minor"/>
      </rPr>
      <t xml:space="preserve"> who has spent the most money (total revenue).</t>
    </r>
  </si>
  <si>
    <r>
      <t>Visualizing Delivery Status:</t>
    </r>
    <r>
      <rPr>
        <sz val="12"/>
        <color theme="1"/>
        <rFont val="Aptos Narrow"/>
        <family val="2"/>
        <scheme val="minor"/>
      </rPr>
      <t xml:space="preserve"> Create a chart (e.g., Donut or Pie Chart) to visualize the proportion of </t>
    </r>
    <r>
      <rPr>
        <sz val="10"/>
        <color theme="1"/>
        <rFont val="Arial Unicode MS"/>
        <family val="2"/>
      </rPr>
      <t>Delivered</t>
    </r>
    <r>
      <rPr>
        <sz val="12"/>
        <color theme="1"/>
        <rFont val="Aptos Narrow"/>
        <family val="2"/>
        <scheme val="minor"/>
      </rPr>
      <t xml:space="preserve"> vs. </t>
    </r>
    <r>
      <rPr>
        <sz val="10"/>
        <color theme="1"/>
        <rFont val="Arial Unicode MS"/>
        <family val="2"/>
      </rPr>
      <t>Pending</t>
    </r>
    <r>
      <rPr>
        <sz val="12"/>
        <color theme="1"/>
        <rFont val="Aptos Narrow"/>
        <family val="2"/>
        <scheme val="minor"/>
      </rPr>
      <t xml:space="preserve"> orders.</t>
    </r>
  </si>
  <si>
    <t>Scenario:
You are a Junior Data Analyst at "OmniMarket," a growing e-commerce company that sells a variety of products across different categories. The company has been operating for a few months, and management is eager to understand their sales performance, identify key trends, and make data-driven decisions to optimize operations and marketing strategies.
The Sales_Transactions sheet contains records of every order, including quantities, prices, regions, and salespersons. The Product_Details sheet provides static information about each product, such as its name, category, and cost.
Your task is to analyze this data to provide insights to OmniMarket's management team. They are particularly interested in understanding:
Overall sales performance and profitability.
Performance of different product categories and individual products.
Geographical sales distribution.
Effectiveness of their sales team.
Efficiency of their delivery process.
Use the provided data to answer the following questions, presenting your findings clearly, ideally with appropriate charts and pivot tables where specified.</t>
  </si>
  <si>
    <t>Section 4: Advanced Analysis &amp; Visualization</t>
  </si>
  <si>
    <t>Total_cost</t>
  </si>
  <si>
    <t>COST PRICE</t>
  </si>
  <si>
    <t xml:space="preserve">Profit </t>
  </si>
  <si>
    <t>Row Labels</t>
  </si>
  <si>
    <t>Grand Total</t>
  </si>
  <si>
    <t>Count of PaymentMethod</t>
  </si>
  <si>
    <t>Count of DeliveryStatus</t>
  </si>
  <si>
    <t>done 19,6</t>
  </si>
  <si>
    <t>Credit card</t>
  </si>
  <si>
    <t xml:space="preserve">Sum of Profit </t>
  </si>
  <si>
    <t>Done</t>
  </si>
  <si>
    <t>&gt; Bob</t>
  </si>
  <si>
    <t xml:space="preserve">office </t>
  </si>
  <si>
    <t>Jan</t>
  </si>
  <si>
    <t>Feb</t>
  </si>
  <si>
    <t>done</t>
  </si>
  <si>
    <t>Average of ProfitMargin</t>
  </si>
  <si>
    <t xml:space="preserve">to check </t>
  </si>
  <si>
    <t>Sum of Discount</t>
  </si>
  <si>
    <t>Average of Discount</t>
  </si>
  <si>
    <t>Product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</si>
</sst>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b/>
      <sz val="12"/>
      <color theme="1"/>
      <name val="Aptos Narrow"/>
      <family val="2"/>
      <scheme val="minor"/>
    </font>
    <font>
      <sz val="10"/>
      <color theme="1"/>
      <name val="Arial Unicode MS"/>
      <family val="2"/>
    </font>
    <font>
      <b/>
      <sz val="10"/>
      <color theme="1"/>
      <name val="Arial Unicode MS"/>
      <family val="2"/>
    </font>
    <font>
      <b/>
      <sz val="14"/>
      <color theme="1"/>
      <name val="Aptos Narrow"/>
      <scheme val="minor"/>
    </font>
    <font>
      <b/>
      <sz val="12"/>
      <color theme="0"/>
      <name val="Aptos Narrow"/>
      <family val="2"/>
      <scheme val="minor"/>
    </font>
    <font>
      <b/>
      <sz val="12"/>
      <color theme="1"/>
      <name val="Aptos Narrow"/>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
      <patternFill patternType="solid">
        <fgColor theme="4"/>
        <bgColor theme="4"/>
      </patternFill>
    </fill>
  </fills>
  <borders count="1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27">
    <xf numFmtId="0" fontId="0" fillId="0" borderId="0" xfId="0"/>
    <xf numFmtId="0" fontId="1" fillId="0" borderId="0" xfId="0" applyFont="1"/>
    <xf numFmtId="0" fontId="4" fillId="0" borderId="1" xfId="0" applyFont="1" applyBorder="1" applyAlignment="1">
      <alignment horizontal="center" wrapText="1"/>
    </xf>
    <xf numFmtId="0" fontId="4" fillId="0" borderId="2" xfId="0" applyFont="1" applyBorder="1" applyAlignment="1">
      <alignment horizontal="center" wrapText="1"/>
    </xf>
    <xf numFmtId="0" fontId="4" fillId="0" borderId="3" xfId="0" applyFont="1" applyBorder="1" applyAlignment="1">
      <alignment horizontal="center" wrapText="1"/>
    </xf>
    <xf numFmtId="0" fontId="4" fillId="0" borderId="4" xfId="0" applyFont="1" applyBorder="1" applyAlignment="1">
      <alignment horizontal="center" wrapText="1"/>
    </xf>
    <xf numFmtId="0" fontId="4" fillId="0" borderId="0" xfId="0" applyFont="1" applyAlignment="1">
      <alignment horizontal="center" wrapText="1"/>
    </xf>
    <xf numFmtId="0" fontId="4" fillId="0" borderId="5" xfId="0" applyFont="1" applyBorder="1" applyAlignment="1">
      <alignment horizontal="center" wrapText="1"/>
    </xf>
    <xf numFmtId="0" fontId="4" fillId="0" borderId="6" xfId="0" applyFont="1" applyBorder="1" applyAlignment="1">
      <alignment horizontal="center" wrapText="1"/>
    </xf>
    <xf numFmtId="0" fontId="4" fillId="0" borderId="7" xfId="0" applyFont="1" applyBorder="1" applyAlignment="1">
      <alignment horizontal="center" wrapText="1"/>
    </xf>
    <xf numFmtId="0" fontId="4" fillId="0" borderId="8" xfId="0" applyFont="1" applyBorder="1" applyAlignment="1">
      <alignment horizontal="center" wrapText="1"/>
    </xf>
    <xf numFmtId="0" fontId="6" fillId="0" borderId="0" xfId="0" applyFont="1"/>
    <xf numFmtId="0" fontId="0" fillId="0" borderId="0" xfId="0" pivotButton="1"/>
    <xf numFmtId="0" fontId="0" fillId="0" borderId="0" xfId="0" applyAlignment="1">
      <alignment horizontal="left"/>
    </xf>
    <xf numFmtId="0" fontId="0" fillId="0" borderId="0" xfId="0" applyNumberFormat="1"/>
    <xf numFmtId="0" fontId="1" fillId="2" borderId="9" xfId="0" applyFont="1" applyFill="1" applyBorder="1"/>
    <xf numFmtId="0" fontId="0" fillId="3" borderId="0" xfId="0" applyFill="1"/>
    <xf numFmtId="0" fontId="0" fillId="0" borderId="10" xfId="0" applyBorder="1"/>
    <xf numFmtId="14" fontId="0" fillId="0" borderId="10" xfId="0" applyNumberFormat="1" applyBorder="1"/>
    <xf numFmtId="0" fontId="0" fillId="0" borderId="0" xfId="0" applyAlignment="1">
      <alignment wrapText="1"/>
    </xf>
    <xf numFmtId="0" fontId="5" fillId="4" borderId="11" xfId="0" applyFont="1" applyFill="1" applyBorder="1"/>
    <xf numFmtId="0" fontId="5" fillId="4" borderId="12" xfId="0" applyFont="1" applyFill="1" applyBorder="1"/>
    <xf numFmtId="0" fontId="5" fillId="4" borderId="13" xfId="0" applyFont="1" applyFill="1" applyBorder="1"/>
    <xf numFmtId="0" fontId="0" fillId="2" borderId="11" xfId="0" applyFont="1" applyFill="1" applyBorder="1"/>
    <xf numFmtId="0" fontId="0" fillId="2" borderId="12" xfId="0" applyFont="1" applyFill="1" applyBorder="1"/>
    <xf numFmtId="0" fontId="0" fillId="2" borderId="13" xfId="0" applyFont="1" applyFill="1" applyBorder="1"/>
    <xf numFmtId="0" fontId="0" fillId="0" borderId="12"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[Case_study3_bs.xlsx]Sales_Transactions!PivotTable3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914479440069988E-2"/>
          <c:y val="0.11387722368037327"/>
          <c:w val="0.74949737532808403"/>
          <c:h val="0.77736111111111106"/>
        </c:manualLayout>
      </c:layout>
      <c:barChart>
        <c:barDir val="col"/>
        <c:grouping val="percentStacked"/>
        <c:varyColors val="0"/>
        <c:ser>
          <c:idx val="0"/>
          <c:order val="0"/>
          <c:tx>
            <c:strRef>
              <c:f>Sales_Transactions!$B$42</c:f>
              <c:strCache>
                <c:ptCount val="1"/>
                <c:pt idx="0">
                  <c:v>Total</c:v>
                </c:pt>
              </c:strCache>
            </c:strRef>
          </c:tx>
          <c:spPr>
            <a:solidFill>
              <a:schemeClr val="accent1"/>
            </a:solidFill>
            <a:ln>
              <a:noFill/>
            </a:ln>
            <a:effectLst/>
          </c:spPr>
          <c:invertIfNegative val="0"/>
          <c:cat>
            <c:strRef>
              <c:f>Sales_Transactions!$A$43:$A$47</c:f>
              <c:strCache>
                <c:ptCount val="4"/>
                <c:pt idx="0">
                  <c:v>East</c:v>
                </c:pt>
                <c:pt idx="1">
                  <c:v>North</c:v>
                </c:pt>
                <c:pt idx="2">
                  <c:v>South</c:v>
                </c:pt>
                <c:pt idx="3">
                  <c:v>West</c:v>
                </c:pt>
              </c:strCache>
            </c:strRef>
          </c:cat>
          <c:val>
            <c:numRef>
              <c:f>Sales_Transactions!$B$43:$B$47</c:f>
              <c:numCache>
                <c:formatCode>General</c:formatCode>
                <c:ptCount val="4"/>
                <c:pt idx="0">
                  <c:v>-3457.1480000000001</c:v>
                </c:pt>
                <c:pt idx="1">
                  <c:v>-3290.1635000000006</c:v>
                </c:pt>
                <c:pt idx="2">
                  <c:v>230.88099999999997</c:v>
                </c:pt>
                <c:pt idx="3">
                  <c:v>-1135.1249999999998</c:v>
                </c:pt>
              </c:numCache>
            </c:numRef>
          </c:val>
          <c:extLst>
            <c:ext xmlns:c16="http://schemas.microsoft.com/office/drawing/2014/chart" uri="{C3380CC4-5D6E-409C-BE32-E72D297353CC}">
              <c16:uniqueId val="{00000000-E5BB-CC4E-A609-C19A1F6B9A97}"/>
            </c:ext>
          </c:extLst>
        </c:ser>
        <c:dLbls>
          <c:showLegendKey val="0"/>
          <c:showVal val="0"/>
          <c:showCatName val="0"/>
          <c:showSerName val="0"/>
          <c:showPercent val="0"/>
          <c:showBubbleSize val="0"/>
        </c:dLbls>
        <c:gapWidth val="150"/>
        <c:overlap val="100"/>
        <c:axId val="376081151"/>
        <c:axId val="376095839"/>
      </c:barChart>
      <c:catAx>
        <c:axId val="376081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95839"/>
        <c:crosses val="autoZero"/>
        <c:auto val="1"/>
        <c:lblAlgn val="ctr"/>
        <c:lblOffset val="100"/>
        <c:noMultiLvlLbl val="0"/>
      </c:catAx>
      <c:valAx>
        <c:axId val="376095839"/>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6081151"/>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outerShdw blurRad="50800" dist="50800" dir="5400000" algn="ctr" rotWithShape="0">
            <a:schemeClr val="accent2">
              <a:lumMod val="40000"/>
              <a:lumOff val="60000"/>
            </a:schemeClr>
          </a:outerShdw>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[Case_study3_bs.xlsx]Sales_Transactions!PivotTable5</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167825896762903"/>
          <c:y val="0.16634251968503938"/>
          <c:w val="0.75584470691163608"/>
          <c:h val="0.77736111111111106"/>
        </c:manualLayout>
      </c:layout>
      <c:barChart>
        <c:barDir val="col"/>
        <c:grouping val="clustered"/>
        <c:varyColors val="0"/>
        <c:ser>
          <c:idx val="0"/>
          <c:order val="0"/>
          <c:tx>
            <c:strRef>
              <c:f>Sales_Transactions!$B$67</c:f>
              <c:strCache>
                <c:ptCount val="1"/>
                <c:pt idx="0">
                  <c:v>Total</c:v>
                </c:pt>
              </c:strCache>
            </c:strRef>
          </c:tx>
          <c:spPr>
            <a:solidFill>
              <a:schemeClr val="accent1"/>
            </a:solidFill>
            <a:ln>
              <a:noFill/>
            </a:ln>
            <a:effectLst/>
          </c:spPr>
          <c:invertIfNegative val="0"/>
          <c:cat>
            <c:strRef>
              <c:f>Sales_Transactions!$A$68:$A$71</c:f>
              <c:strCache>
                <c:ptCount val="3"/>
                <c:pt idx="0">
                  <c:v>Electronics</c:v>
                </c:pt>
                <c:pt idx="1">
                  <c:v>Office Furniture</c:v>
                </c:pt>
                <c:pt idx="2">
                  <c:v>Office Supplies</c:v>
                </c:pt>
              </c:strCache>
            </c:strRef>
          </c:cat>
          <c:val>
            <c:numRef>
              <c:f>Sales_Transactions!$B$68:$B$71</c:f>
              <c:numCache>
                <c:formatCode>General</c:formatCode>
                <c:ptCount val="3"/>
                <c:pt idx="0">
                  <c:v>-8034.2880000000023</c:v>
                </c:pt>
                <c:pt idx="1">
                  <c:v>304.87450000000013</c:v>
                </c:pt>
                <c:pt idx="2">
                  <c:v>77.858000000000004</c:v>
                </c:pt>
              </c:numCache>
            </c:numRef>
          </c:val>
          <c:extLst>
            <c:ext xmlns:c16="http://schemas.microsoft.com/office/drawing/2014/chart" uri="{C3380CC4-5D6E-409C-BE32-E72D297353CC}">
              <c16:uniqueId val="{00000000-597D-4B49-8693-4DE54F5BE209}"/>
            </c:ext>
          </c:extLst>
        </c:ser>
        <c:dLbls>
          <c:showLegendKey val="0"/>
          <c:showVal val="0"/>
          <c:showCatName val="0"/>
          <c:showSerName val="0"/>
          <c:showPercent val="0"/>
          <c:showBubbleSize val="0"/>
        </c:dLbls>
        <c:gapWidth val="219"/>
        <c:overlap val="-27"/>
        <c:axId val="475130639"/>
        <c:axId val="1834029935"/>
      </c:barChart>
      <c:catAx>
        <c:axId val="475130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029935"/>
        <c:crosses val="autoZero"/>
        <c:auto val="1"/>
        <c:lblAlgn val="ctr"/>
        <c:lblOffset val="100"/>
        <c:noMultiLvlLbl val="0"/>
      </c:catAx>
      <c:valAx>
        <c:axId val="18340299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5130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[Case_study3_bs.xlsx]Sales_Transactions!PivotTable6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lumMod val="75000"/>
              </a:schemeClr>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Sales_Transactions!$B$81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spPr>
              <a:ln w="28575" cap="rnd">
                <a:solidFill>
                  <a:schemeClr val="accent6">
                    <a:lumMod val="75000"/>
                  </a:schemeClr>
                </a:solidFill>
                <a:round/>
              </a:ln>
              <a:effectLst/>
            </c:spPr>
            <c:extLst>
              <c:ext xmlns:c16="http://schemas.microsoft.com/office/drawing/2014/chart" uri="{C3380CC4-5D6E-409C-BE32-E72D297353CC}">
                <c16:uniqueId val="{00000002-7C98-8544-BD7B-E0DFB1E631C7}"/>
              </c:ext>
            </c:extLst>
          </c:dPt>
          <c:cat>
            <c:strRef>
              <c:f>Sales_Transactions!$A$82:$A$84</c:f>
              <c:strCache>
                <c:ptCount val="2"/>
                <c:pt idx="0">
                  <c:v>Jan</c:v>
                </c:pt>
                <c:pt idx="1">
                  <c:v>Feb</c:v>
                </c:pt>
              </c:strCache>
            </c:strRef>
          </c:cat>
          <c:val>
            <c:numRef>
              <c:f>Sales_Transactions!$B$82:$B$84</c:f>
              <c:numCache>
                <c:formatCode>General</c:formatCode>
                <c:ptCount val="2"/>
                <c:pt idx="0">
                  <c:v>-4593.7764999999999</c:v>
                </c:pt>
                <c:pt idx="1">
                  <c:v>-3057.7790000000005</c:v>
                </c:pt>
              </c:numCache>
            </c:numRef>
          </c:val>
          <c:smooth val="0"/>
          <c:extLst>
            <c:ext xmlns:c16="http://schemas.microsoft.com/office/drawing/2014/chart" uri="{C3380CC4-5D6E-409C-BE32-E72D297353CC}">
              <c16:uniqueId val="{00000000-7C98-8544-BD7B-E0DFB1E631C7}"/>
            </c:ext>
          </c:extLst>
        </c:ser>
        <c:dLbls>
          <c:showLegendKey val="0"/>
          <c:showVal val="0"/>
          <c:showCatName val="0"/>
          <c:showSerName val="0"/>
          <c:showPercent val="0"/>
          <c:showBubbleSize val="0"/>
        </c:dLbls>
        <c:marker val="1"/>
        <c:smooth val="0"/>
        <c:axId val="1838295855"/>
        <c:axId val="681046927"/>
      </c:lineChart>
      <c:catAx>
        <c:axId val="183829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1046927"/>
        <c:crosses val="autoZero"/>
        <c:auto val="1"/>
        <c:lblAlgn val="ctr"/>
        <c:lblOffset val="100"/>
        <c:noMultiLvlLbl val="0"/>
      </c:catAx>
      <c:valAx>
        <c:axId val="681046927"/>
        <c:scaling>
          <c:orientation val="minMax"/>
        </c:scaling>
        <c:delete val="0"/>
        <c:axPos val="l"/>
        <c:majorGridlines>
          <c:spPr>
            <a:ln w="9525" cap="flat" cmpd="sng" algn="ctr">
              <a:solidFill>
                <a:schemeClr val="tx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8295855"/>
        <c:crosses val="autoZero"/>
        <c:crossBetween val="between"/>
      </c:valAx>
      <c:spPr>
        <a:gradFill flip="none" rotWithShape="1">
          <a:gsLst>
            <a:gs pos="0">
              <a:schemeClr val="accent5">
                <a:lumMod val="0"/>
                <a:lumOff val="100000"/>
              </a:schemeClr>
            </a:gs>
            <a:gs pos="11000">
              <a:schemeClr val="accent5">
                <a:lumMod val="0"/>
                <a:lumOff val="100000"/>
              </a:schemeClr>
            </a:gs>
            <a:gs pos="100000">
              <a:schemeClr val="accent5">
                <a:lumMod val="100000"/>
              </a:schemeClr>
            </a:gs>
          </a:gsLst>
          <a:path path="rect">
            <a:fillToRect r="100000" b="100000"/>
          </a:path>
          <a:tileRect l="-100000" t="-100000"/>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0</xdr:colOff>
      <xdr:row>40</xdr:row>
      <xdr:rowOff>190500</xdr:rowOff>
    </xdr:from>
    <xdr:to>
      <xdr:col>7</xdr:col>
      <xdr:colOff>63500</xdr:colOff>
      <xdr:row>54</xdr:row>
      <xdr:rowOff>88900</xdr:rowOff>
    </xdr:to>
    <xdr:graphicFrame macro="">
      <xdr:nvGraphicFramePr>
        <xdr:cNvPr id="2" name="Chart 1">
          <a:extLst>
            <a:ext uri="{FF2B5EF4-FFF2-40B4-BE49-F238E27FC236}">
              <a16:creationId xmlns:a16="http://schemas.microsoft.com/office/drawing/2014/main" id="{1A04CE63-B24B-AD24-7A72-3056B6D06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64</xdr:row>
      <xdr:rowOff>0</xdr:rowOff>
    </xdr:from>
    <xdr:to>
      <xdr:col>9</xdr:col>
      <xdr:colOff>1016000</xdr:colOff>
      <xdr:row>77</xdr:row>
      <xdr:rowOff>101600</xdr:rowOff>
    </xdr:to>
    <xdr:graphicFrame macro="">
      <xdr:nvGraphicFramePr>
        <xdr:cNvPr id="7" name="Chart 6">
          <a:extLst>
            <a:ext uri="{FF2B5EF4-FFF2-40B4-BE49-F238E27FC236}">
              <a16:creationId xmlns:a16="http://schemas.microsoft.com/office/drawing/2014/main" id="{C39D92A8-97E7-06D4-8E42-E53FF8F756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749300</xdr:colOff>
      <xdr:row>75</xdr:row>
      <xdr:rowOff>152400</xdr:rowOff>
    </xdr:from>
    <xdr:to>
      <xdr:col>6</xdr:col>
      <xdr:colOff>482600</xdr:colOff>
      <xdr:row>86</xdr:row>
      <xdr:rowOff>127000</xdr:rowOff>
    </xdr:to>
    <xdr:graphicFrame macro="">
      <xdr:nvGraphicFramePr>
        <xdr:cNvPr id="8" name="Chart 7">
          <a:extLst>
            <a:ext uri="{FF2B5EF4-FFF2-40B4-BE49-F238E27FC236}">
              <a16:creationId xmlns:a16="http://schemas.microsoft.com/office/drawing/2014/main" id="{06F78B2F-D927-98E0-17B5-5D1AA765CB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rivastava" refreshedDate="45816.928145370373" createdVersion="8" refreshedVersion="8" minRefreshableVersion="3" recordCount="25" xr:uid="{48AF7CA8-EAD0-D846-B733-BFC2BF7C9E83}">
  <cacheSource type="worksheet">
    <worksheetSource ref="K1:K26" sheet="Sales_Transactions"/>
  </cacheSource>
  <cacheFields count="1">
    <cacheField name="PaymentMethod" numFmtId="0">
      <sharedItems count="4">
        <s v="Credit Card"/>
        <s v="Bank Transfer"/>
        <s v="Cash"/>
        <s v="Debit Card"/>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rivastava" refreshedDate="45816.930179976851" createdVersion="8" refreshedVersion="8" minRefreshableVersion="3" recordCount="25" xr:uid="{322E0356-1611-044A-9D8C-CDCD242CAB28}">
  <cacheSource type="worksheet">
    <worksheetSource ref="J1:J26" sheet="Sales_Transactions"/>
  </cacheSource>
  <cacheFields count="1">
    <cacheField name="DeliveryStatus" numFmtId="0">
      <sharedItems count="2">
        <s v="Delivered"/>
        <s v="Pending"/>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rivastava" refreshedDate="45817.473955092595" createdVersion="8" refreshedVersion="8" minRefreshableVersion="3" recordCount="25" xr:uid="{838DDFA6-760F-0C47-89D2-E6916F170B34}">
  <cacheSource type="worksheet">
    <worksheetSource ref="H1:O26" sheet="Sales_Transactions"/>
  </cacheSource>
  <cacheFields count="8">
    <cacheField name="Region" numFmtId="0">
      <sharedItems count="4">
        <s v="North"/>
        <s v="South"/>
        <s v="East"/>
        <s v="West"/>
      </sharedItems>
    </cacheField>
    <cacheField name="Salesperson" numFmtId="0">
      <sharedItems/>
    </cacheField>
    <cacheField name="DeliveryStatus" numFmtId="0">
      <sharedItems/>
    </cacheField>
    <cacheField name="PaymentMethod" numFmtId="0">
      <sharedItems/>
    </cacheField>
    <cacheField name="ProfitMargin" numFmtId="0">
      <sharedItems containsSemiMixedTypes="0" containsString="0" containsNumber="1" minValue="0.15" maxValue="0.32"/>
    </cacheField>
    <cacheField name="Total_cost" numFmtId="0">
      <sharedItems containsSemiMixedTypes="0" containsString="0" containsNumber="1" minValue="39.979999999999997" maxValue="1079.9640000000002"/>
    </cacheField>
    <cacheField name="COST PRICE" numFmtId="0">
      <sharedItems containsSemiMixedTypes="0" containsString="0" containsNumber="1" containsInteger="1" minValue="30" maxValue="4000"/>
    </cacheField>
    <cacheField name="Profit " numFmtId="0">
      <sharedItems containsSemiMixedTypes="0" containsString="0" containsNumber="1" minValue="-3525.0475000000001" maxValue="119.97149999999999"/>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rivastava" refreshedDate="45817.526662962962" createdVersion="8" refreshedVersion="8" minRefreshableVersion="3" recordCount="25" xr:uid="{432078AD-0104-894E-9BC5-E8181D06F594}">
  <cacheSource type="worksheet">
    <worksheetSource ref="I1:O26" sheet="Sales_Transactions"/>
  </cacheSource>
  <cacheFields count="7">
    <cacheField name="Salesperson" numFmtId="0">
      <sharedItems count="4">
        <s v="Alice"/>
        <s v="Bob"/>
        <s v="Carol"/>
        <s v="David"/>
      </sharedItems>
    </cacheField>
    <cacheField name="DeliveryStatus" numFmtId="0">
      <sharedItems/>
    </cacheField>
    <cacheField name="PaymentMethod" numFmtId="0">
      <sharedItems/>
    </cacheField>
    <cacheField name="ProfitMargin" numFmtId="0">
      <sharedItems containsSemiMixedTypes="0" containsString="0" containsNumber="1" minValue="0.15" maxValue="0.32"/>
    </cacheField>
    <cacheField name="Total_cost" numFmtId="0">
      <sharedItems containsSemiMixedTypes="0" containsString="0" containsNumber="1" minValue="39.979999999999997" maxValue="1079.9640000000002"/>
    </cacheField>
    <cacheField name="COST PRICE" numFmtId="0">
      <sharedItems containsSemiMixedTypes="0" containsString="0" containsNumber="1" containsInteger="1" minValue="30" maxValue="4000"/>
    </cacheField>
    <cacheField name="Profit " numFmtId="0">
      <sharedItems containsSemiMixedTypes="0" containsString="0" containsNumber="1" minValue="-3525.0475000000001" maxValue="119.9714999999999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rivastava" refreshedDate="45817.529591550927" createdVersion="8" refreshedVersion="8" minRefreshableVersion="3" recordCount="25" xr:uid="{C67EB61A-D738-2B44-91FB-41321F0C078D}">
  <cacheSource type="worksheet">
    <worksheetSource ref="O1:Q26" sheet="Sales_Transactions"/>
  </cacheSource>
  <cacheFields count="3">
    <cacheField name="Profit " numFmtId="0">
      <sharedItems containsSemiMixedTypes="0" containsString="0" containsNumber="1" minValue="-3525.0475000000001" maxValue="119.97149999999999" count="22">
        <n v="22.471499999999992"/>
        <n v="49.990000000000009"/>
        <n v="14.954999999999998"/>
        <n v="-1400.02"/>
        <n v="34.990499999999997"/>
        <n v="79.95999999999998"/>
        <n v="7.9830000000000041"/>
        <n v="89.970000000000027"/>
        <n v="10.991"/>
        <n v="-3525.0475000000001"/>
        <n v="19.980000000000004"/>
        <n v="14.969999999999999"/>
        <n v="-2840.0360000000001"/>
        <n v="39.97999999999999"/>
        <n v="22.490499999999997"/>
        <n v="29.97"/>
        <n v="4.9909999999999997"/>
        <n v="119.97149999999999"/>
        <n v="9.9799999999999969"/>
        <n v="-700.01"/>
        <n v="79.964000000000169"/>
        <n v="19.989999999999995"/>
      </sharedItems>
    </cacheField>
    <cacheField name="ProductName" numFmtId="0">
      <sharedItems count="9">
        <s v="Mechanical Keyboard"/>
        <s v="Wireless Mouse"/>
        <s v="Pen Set Premium"/>
        <s v="Laptop Pro"/>
        <s v="Ergonomic Chair"/>
        <s v="Desk Lamp"/>
        <s v="Notebook (A4)"/>
        <s v="Noise-Cancelling Headphones"/>
        <s v="Webcam HD"/>
      </sharedItems>
    </cacheField>
    <cacheField name="Category" numFmtId="0">
      <sharedItems count="3">
        <s v="Electronics"/>
        <s v="Office Supplies"/>
        <s v="Office Furniture"/>
      </sharedItems>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rivastava" refreshedDate="45817.533251736109" createdVersion="8" refreshedVersion="8" minRefreshableVersion="3" recordCount="25" xr:uid="{02C15541-3CA0-964E-962E-97C0983D2A70}">
  <cacheSource type="worksheet">
    <worksheetSource ref="D1:O26" sheet="Sales_Transactions"/>
  </cacheSource>
  <cacheFields count="14">
    <cacheField name="OrderDate" numFmtId="14">
      <sharedItems containsSemiMixedTypes="0" containsNonDate="0" containsDate="1" containsString="0" minDate="2024-01-15T00:00:00" maxDate="2024-02-15T00:00:00" count="25">
        <d v="2024-01-15T00:00:00"/>
        <d v="2024-01-16T00:00:00"/>
        <d v="2024-01-17T00:00:00"/>
        <d v="2024-01-18T00:00:00"/>
        <d v="2024-01-19T00:00:00"/>
        <d v="2024-01-20T00:00:00"/>
        <d v="2024-01-21T00:00:00"/>
        <d v="2024-01-22T00:00:00"/>
        <d v="2024-01-23T00:00:00"/>
        <d v="2024-01-24T00:00:00"/>
        <d v="2024-01-25T00:00:00"/>
        <d v="2024-02-01T00:00:00"/>
        <d v="2024-02-02T00:00:00"/>
        <d v="2024-02-03T00:00:00"/>
        <d v="2024-02-04T00:00:00"/>
        <d v="2024-02-05T00:00:00"/>
        <d v="2024-02-06T00:00:00"/>
        <d v="2024-02-07T00:00:00"/>
        <d v="2024-02-08T00:00:00"/>
        <d v="2024-02-09T00:00:00"/>
        <d v="2024-02-10T00:00:00"/>
        <d v="2024-02-11T00:00:00"/>
        <d v="2024-02-12T00:00:00"/>
        <d v="2024-02-13T00:00:00"/>
        <d v="2024-02-14T00:00:00"/>
      </sharedItems>
      <fieldGroup par="13"/>
    </cacheField>
    <cacheField name="Quantity" numFmtId="0">
      <sharedItems containsSemiMixedTypes="0" containsString="0" containsNumber="1" containsInteger="1" minValue="1" maxValue="5"/>
    </cacheField>
    <cacheField name="UnitPrice" numFmtId="0">
      <sharedItems containsSemiMixedTypes="0" containsString="0" containsNumber="1" minValue="19.989999999999998" maxValue="299.99"/>
    </cacheField>
    <cacheField name="Discount" numFmtId="0">
      <sharedItems containsSemiMixedTypes="0" containsString="0" containsNumber="1" minValue="0" maxValue="0.15"/>
    </cacheField>
    <cacheField name="Region" numFmtId="0">
      <sharedItems/>
    </cacheField>
    <cacheField name="Salesperson" numFmtId="0">
      <sharedItems/>
    </cacheField>
    <cacheField name="DeliveryStatus" numFmtId="0">
      <sharedItems/>
    </cacheField>
    <cacheField name="PaymentMethod" numFmtId="0">
      <sharedItems/>
    </cacheField>
    <cacheField name="ProfitMargin" numFmtId="0">
      <sharedItems containsSemiMixedTypes="0" containsString="0" containsNumber="1" minValue="0.15" maxValue="0.32"/>
    </cacheField>
    <cacheField name="Total_cost" numFmtId="0">
      <sharedItems containsSemiMixedTypes="0" containsString="0" containsNumber="1" minValue="39.979999999999997" maxValue="1079.9640000000002"/>
    </cacheField>
    <cacheField name="COST PRICE" numFmtId="0">
      <sharedItems containsSemiMixedTypes="0" containsString="0" containsNumber="1" containsInteger="1" minValue="30" maxValue="4000"/>
    </cacheField>
    <cacheField name="Profit " numFmtId="0">
      <sharedItems containsSemiMixedTypes="0" containsString="0" containsNumber="1" minValue="-3525.0475000000001" maxValue="119.97149999999999"/>
    </cacheField>
    <cacheField name="Days (OrderDate)" numFmtId="0" databaseField="0">
      <fieldGroup base="0">
        <rangePr groupBy="days" startDate="2024-01-15T00:00:00" endDate="2024-02-15T00:00:00"/>
        <groupItems count="368">
          <s v="&lt;15/01/24"/>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4"/>
        </groupItems>
      </fieldGroup>
    </cacheField>
    <cacheField name="Months (OrderDate)" numFmtId="0" databaseField="0">
      <fieldGroup base="0">
        <rangePr groupBy="months" startDate="2024-01-15T00:00:00" endDate="2024-02-15T00:00:00"/>
        <groupItems count="14">
          <s v="&lt;15/01/24"/>
          <s v="Jan"/>
          <s v="Feb"/>
          <s v="Mar"/>
          <s v="Apr"/>
          <s v="May"/>
          <s v="Jun"/>
          <s v="Jul"/>
          <s v="Aug"/>
          <s v="Sep"/>
          <s v="Oct"/>
          <s v="Nov"/>
          <s v="Dec"/>
          <s v="&gt;15/02/24"/>
        </groupItems>
      </fieldGroup>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rivastava" refreshedDate="45817.591228703706" createdVersion="8" refreshedVersion="8" minRefreshableVersion="3" recordCount="25" xr:uid="{5985FDB0-E77C-5E41-9FF2-6A9A81D16D7D}">
  <cacheSource type="worksheet">
    <worksheetSource ref="O1:P26" sheet="Sales_Transactions"/>
  </cacheSource>
  <cacheFields count="2">
    <cacheField name="Profit " numFmtId="0">
      <sharedItems containsSemiMixedTypes="0" containsString="0" containsNumber="1" minValue="-3525.0475000000001" maxValue="119.97149999999999"/>
    </cacheField>
    <cacheField name="ProductName" numFmtId="0">
      <sharedItems count="9">
        <s v="Mechanical Keyboard"/>
        <s v="Wireless Mouse"/>
        <s v="Pen Set Premium"/>
        <s v="Laptop Pro"/>
        <s v="Ergonomic Chair"/>
        <s v="Desk Lamp"/>
        <s v="Notebook (A4)"/>
        <s v="Noise-Cancelling Headphones"/>
        <s v="Webcam HD"/>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rivastava" refreshedDate="45817.598003703701" createdVersion="8" refreshedVersion="8" minRefreshableVersion="3" recordCount="25" xr:uid="{11308F56-6676-BA49-9DFB-3663BC800242}">
  <cacheSource type="worksheet">
    <worksheetSource ref="L1:P26" sheet="Sales_Transactions"/>
  </cacheSource>
  <cacheFields count="5">
    <cacheField name="ProfitMargin" numFmtId="0">
      <sharedItems containsSemiMixedTypes="0" containsString="0" containsNumber="1" minValue="0.15" maxValue="0.32"/>
    </cacheField>
    <cacheField name="Total_cost" numFmtId="0">
      <sharedItems containsSemiMixedTypes="0" containsString="0" containsNumber="1" minValue="39.979999999999997" maxValue="1079.9640000000002"/>
    </cacheField>
    <cacheField name="COST PRICE" numFmtId="0">
      <sharedItems containsSemiMixedTypes="0" containsString="0" containsNumber="1" containsInteger="1" minValue="30" maxValue="4000"/>
    </cacheField>
    <cacheField name="Profit " numFmtId="0">
      <sharedItems containsSemiMixedTypes="0" containsString="0" containsNumber="1" minValue="-3525.0475000000001" maxValue="119.97149999999999"/>
    </cacheField>
    <cacheField name="ProductName" numFmtId="0">
      <sharedItems count="9">
        <s v="Mechanical Keyboard"/>
        <s v="Wireless Mouse"/>
        <s v="Pen Set Premium"/>
        <s v="Laptop Pro"/>
        <s v="Ergonomic Chair"/>
        <s v="Desk Lamp"/>
        <s v="Notebook (A4)"/>
        <s v="Noise-Cancelling Headphones"/>
        <s v="Webcam HD"/>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rivastava" refreshedDate="45817.599024074072" createdVersion="8" refreshedVersion="8" minRefreshableVersion="3" recordCount="25" xr:uid="{425CA82D-5A79-8E4A-8351-13E99CFD2092}">
  <cacheSource type="worksheet">
    <worksheetSource ref="H1:J26" sheet="Sales_Transactions"/>
  </cacheSource>
  <cacheFields count="3">
    <cacheField name="Region" numFmtId="0">
      <sharedItems count="4">
        <s v="North"/>
        <s v="South"/>
        <s v="East"/>
        <s v="West"/>
      </sharedItems>
    </cacheField>
    <cacheField name="Salesperson" numFmtId="0">
      <sharedItems/>
    </cacheField>
    <cacheField name="DeliveryStatus" numFmtId="0">
      <sharedItems count="2">
        <s v="Delivered"/>
        <s v="Pending"/>
      </sharedItems>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rivastava" refreshedDate="45817.613129861114" createdVersion="8" refreshedVersion="8" minRefreshableVersion="3" recordCount="25" xr:uid="{06E27A64-346A-6441-B580-2B49FE4DB489}">
  <cacheSource type="worksheet">
    <worksheetSource ref="G1:H26" sheet="Sales_Transactions"/>
  </cacheSource>
  <cacheFields count="2">
    <cacheField name="Discount" numFmtId="0">
      <sharedItems containsSemiMixedTypes="0" containsString="0" containsNumber="1" minValue="0" maxValue="0.15"/>
    </cacheField>
    <cacheField name="Region" numFmtId="0">
      <sharedItems count="4">
        <s v="North"/>
        <s v="South"/>
        <s v="East"/>
        <s v="West"/>
      </sharedItems>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umya Srivastava" refreshedDate="45817.617296990742" createdVersion="8" refreshedVersion="8" minRefreshableVersion="3" recordCount="25" xr:uid="{9C79D8EE-3877-A343-9C95-8123EB5A9EDF}">
  <cacheSource type="worksheet">
    <worksheetSource ref="G1:R26" sheet="Sales_Transactions"/>
  </cacheSource>
  <cacheFields count="12">
    <cacheField name="Discount" numFmtId="0">
      <sharedItems containsSemiMixedTypes="0" containsString="0" containsNumber="1" minValue="0" maxValue="0.15"/>
    </cacheField>
    <cacheField name="Region" numFmtId="0">
      <sharedItems/>
    </cacheField>
    <cacheField name="Salesperson" numFmtId="0">
      <sharedItems/>
    </cacheField>
    <cacheField name="DeliveryStatus" numFmtId="0">
      <sharedItems/>
    </cacheField>
    <cacheField name="PaymentMethod" numFmtId="0">
      <sharedItems/>
    </cacheField>
    <cacheField name="ProfitMargin" numFmtId="0">
      <sharedItems containsSemiMixedTypes="0" containsString="0" containsNumber="1" minValue="0.15" maxValue="0.32"/>
    </cacheField>
    <cacheField name="Total_cost" numFmtId="0">
      <sharedItems containsSemiMixedTypes="0" containsString="0" containsNumber="1" minValue="39.979999999999997" maxValue="1079.9640000000002"/>
    </cacheField>
    <cacheField name="COST PRICE" numFmtId="0">
      <sharedItems containsSemiMixedTypes="0" containsString="0" containsNumber="1" containsInteger="1" minValue="30" maxValue="4000"/>
    </cacheField>
    <cacheField name="Profit " numFmtId="0">
      <sharedItems containsSemiMixedTypes="0" containsString="0" containsNumber="1" minValue="-3525.0475000000001" maxValue="119.97149999999999"/>
    </cacheField>
    <cacheField name="ProductName" numFmtId="0">
      <sharedItems count="9">
        <s v="Mechanical Keyboard"/>
        <s v="Wireless Mouse"/>
        <s v="Pen Set Premium"/>
        <s v="Laptop Pro"/>
        <s v="Ergonomic Chair"/>
        <s v="Desk Lamp"/>
        <s v="Notebook (A4)"/>
        <s v="Noise-Cancelling Headphones"/>
        <s v="Webcam HD"/>
      </sharedItems>
    </cacheField>
    <cacheField name="Category" numFmtId="0">
      <sharedItems count="3">
        <s v="Electronics"/>
        <s v="Office Supplies"/>
        <s v="Office Furniture"/>
      </sharedItems>
    </cacheField>
    <cacheField name="Supplier" numFmtId="0">
      <sharedItems count="5">
        <s v="TechCorp"/>
        <s v="StationeryPlus"/>
        <s v="FurniMart"/>
        <s v="LightCo"/>
        <s v="AudioMax"/>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r>
  <r>
    <x v="1"/>
  </r>
  <r>
    <x v="2"/>
  </r>
  <r>
    <x v="0"/>
  </r>
  <r>
    <x v="0"/>
  </r>
  <r>
    <x v="3"/>
  </r>
  <r>
    <x v="2"/>
  </r>
  <r>
    <x v="0"/>
  </r>
  <r>
    <x v="1"/>
  </r>
  <r>
    <x v="0"/>
  </r>
  <r>
    <x v="2"/>
  </r>
  <r>
    <x v="3"/>
  </r>
  <r>
    <x v="0"/>
  </r>
  <r>
    <x v="1"/>
  </r>
  <r>
    <x v="2"/>
  </r>
  <r>
    <x v="0"/>
  </r>
  <r>
    <x v="0"/>
  </r>
  <r>
    <x v="3"/>
  </r>
  <r>
    <x v="1"/>
  </r>
  <r>
    <x v="0"/>
  </r>
  <r>
    <x v="0"/>
  </r>
  <r>
    <x v="1"/>
  </r>
  <r>
    <x v="2"/>
  </r>
  <r>
    <x v="0"/>
  </r>
  <r>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r>
  <r>
    <x v="1"/>
  </r>
  <r>
    <x v="0"/>
  </r>
  <r>
    <x v="0"/>
  </r>
  <r>
    <x v="0"/>
  </r>
  <r>
    <x v="0"/>
  </r>
  <r>
    <x v="1"/>
  </r>
  <r>
    <x v="0"/>
  </r>
  <r>
    <x v="0"/>
  </r>
  <r>
    <x v="0"/>
  </r>
  <r>
    <x v="1"/>
  </r>
  <r>
    <x v="0"/>
  </r>
  <r>
    <x v="0"/>
  </r>
  <r>
    <x v="0"/>
  </r>
  <r>
    <x v="1"/>
  </r>
  <r>
    <x v="0"/>
  </r>
  <r>
    <x v="0"/>
  </r>
  <r>
    <x v="0"/>
  </r>
  <r>
    <x v="1"/>
  </r>
  <r>
    <x v="0"/>
  </r>
  <r>
    <x v="0"/>
  </r>
  <r>
    <x v="0"/>
  </r>
  <r>
    <x v="1"/>
  </r>
  <r>
    <x v="0"/>
  </r>
  <r>
    <x v="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s v="Alice"/>
    <s v="Delivered"/>
    <s v="Credit Card"/>
    <n v="0.25"/>
    <n v="142.47149999999999"/>
    <n v="120"/>
    <n v="22.471499999999992"/>
  </r>
  <r>
    <x v="1"/>
    <s v="Bob"/>
    <s v="Pending"/>
    <s v="Bank Transfer"/>
    <n v="0.18"/>
    <n v="199.99"/>
    <n v="150"/>
    <n v="49.990000000000009"/>
  </r>
  <r>
    <x v="2"/>
    <s v="Carol"/>
    <s v="Delivered"/>
    <s v="Cash"/>
    <n v="0.3"/>
    <n v="89.954999999999998"/>
    <n v="75"/>
    <n v="14.954999999999998"/>
  </r>
  <r>
    <x v="3"/>
    <s v="David"/>
    <s v="Delivered"/>
    <s v="Credit Card"/>
    <n v="0.22"/>
    <n v="199.98"/>
    <n v="1600"/>
    <n v="-1400.02"/>
  </r>
  <r>
    <x v="0"/>
    <s v="Alice"/>
    <s v="Delivered"/>
    <s v="Credit Card"/>
    <n v="0.15"/>
    <n v="284.9905"/>
    <n v="250"/>
    <n v="34.990499999999997"/>
  </r>
  <r>
    <x v="1"/>
    <s v="Bob"/>
    <s v="Delivered"/>
    <s v="Debit Card"/>
    <n v="0.28000000000000003"/>
    <n v="319.95999999999998"/>
    <n v="240"/>
    <n v="79.95999999999998"/>
  </r>
  <r>
    <x v="2"/>
    <s v="Carol"/>
    <s v="Pending"/>
    <s v="Cash"/>
    <n v="0.32"/>
    <n v="67.983000000000004"/>
    <n v="60"/>
    <n v="7.9830000000000041"/>
  </r>
  <r>
    <x v="3"/>
    <s v="David"/>
    <s v="Delivered"/>
    <s v="Credit Card"/>
    <n v="0.2"/>
    <n v="449.97"/>
    <n v="360"/>
    <n v="89.970000000000027"/>
  </r>
  <r>
    <x v="1"/>
    <s v="Bob"/>
    <s v="Delivered"/>
    <s v="Bank Transfer"/>
    <n v="0.26"/>
    <n v="80.991"/>
    <n v="70"/>
    <n v="10.991"/>
  </r>
  <r>
    <x v="0"/>
    <s v="Alice"/>
    <s v="Delivered"/>
    <s v="Credit Card"/>
    <n v="0.22"/>
    <n v="474.95249999999999"/>
    <n v="4000"/>
    <n v="-3525.0475000000001"/>
  </r>
  <r>
    <x v="2"/>
    <s v="Carol"/>
    <s v="Pending"/>
    <s v="Cash"/>
    <n v="0.25"/>
    <n v="99.98"/>
    <n v="80"/>
    <n v="19.980000000000004"/>
  </r>
  <r>
    <x v="3"/>
    <s v="David"/>
    <s v="Delivered"/>
    <s v="Debit Card"/>
    <n v="0.18"/>
    <n v="199.99"/>
    <n v="150"/>
    <n v="49.990000000000009"/>
  </r>
  <r>
    <x v="0"/>
    <s v="Alice"/>
    <s v="Delivered"/>
    <s v="Credit Card"/>
    <n v="0.3"/>
    <n v="59.97"/>
    <n v="45"/>
    <n v="14.969999999999999"/>
  </r>
  <r>
    <x v="1"/>
    <s v="Bob"/>
    <s v="Delivered"/>
    <s v="Bank Transfer"/>
    <n v="0.15"/>
    <n v="299.99"/>
    <n v="250"/>
    <n v="49.990000000000009"/>
  </r>
  <r>
    <x v="2"/>
    <s v="Carol"/>
    <s v="Pending"/>
    <s v="Cash"/>
    <n v="0.22"/>
    <n v="359.964"/>
    <n v="3200"/>
    <n v="-2840.0360000000001"/>
  </r>
  <r>
    <x v="3"/>
    <s v="David"/>
    <s v="Delivered"/>
    <s v="Credit Card"/>
    <n v="0.28000000000000003"/>
    <n v="159.97999999999999"/>
    <n v="120"/>
    <n v="39.97999999999999"/>
  </r>
  <r>
    <x v="0"/>
    <s v="Alice"/>
    <s v="Delivered"/>
    <s v="Credit Card"/>
    <n v="0.2"/>
    <n v="142.4905"/>
    <n v="120"/>
    <n v="22.490499999999997"/>
  </r>
  <r>
    <x v="1"/>
    <s v="Bob"/>
    <s v="Delivered"/>
    <s v="Debit Card"/>
    <n v="0.32"/>
    <n v="119.97"/>
    <n v="90"/>
    <n v="29.97"/>
  </r>
  <r>
    <x v="2"/>
    <s v="Carol"/>
    <s v="Pending"/>
    <s v="Bank Transfer"/>
    <n v="0.26"/>
    <n v="179.98"/>
    <n v="140"/>
    <n v="39.97999999999999"/>
  </r>
  <r>
    <x v="3"/>
    <s v="David"/>
    <s v="Delivered"/>
    <s v="Credit Card"/>
    <n v="0.25"/>
    <n v="44.991"/>
    <n v="40"/>
    <n v="4.9909999999999997"/>
  </r>
  <r>
    <x v="0"/>
    <s v="Alice"/>
    <s v="Delivered"/>
    <s v="Credit Card"/>
    <n v="0.18"/>
    <n v="569.97149999999999"/>
    <n v="450"/>
    <n v="119.97149999999999"/>
  </r>
  <r>
    <x v="1"/>
    <s v="Bob"/>
    <s v="Delivered"/>
    <s v="Bank Transfer"/>
    <n v="0.3"/>
    <n v="39.979999999999997"/>
    <n v="30"/>
    <n v="9.9799999999999969"/>
  </r>
  <r>
    <x v="2"/>
    <s v="Carol"/>
    <s v="Pending"/>
    <s v="Cash"/>
    <n v="0.22"/>
    <n v="99.99"/>
    <n v="800"/>
    <n v="-700.01"/>
  </r>
  <r>
    <x v="3"/>
    <s v="David"/>
    <s v="Delivered"/>
    <s v="Credit Card"/>
    <n v="0.15"/>
    <n v="1079.9640000000002"/>
    <n v="1000"/>
    <n v="79.964000000000169"/>
  </r>
  <r>
    <x v="0"/>
    <s v="Alice"/>
    <s v="Delivered"/>
    <s v="Debit Card"/>
    <n v="0.28000000000000003"/>
    <n v="79.989999999999995"/>
    <n v="60"/>
    <n v="19.98999999999999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s v="Delivered"/>
    <s v="Credit Card"/>
    <n v="0.25"/>
    <n v="142.47149999999999"/>
    <n v="120"/>
    <n v="22.471499999999992"/>
  </r>
  <r>
    <x v="1"/>
    <s v="Pending"/>
    <s v="Bank Transfer"/>
    <n v="0.18"/>
    <n v="199.99"/>
    <n v="150"/>
    <n v="49.990000000000009"/>
  </r>
  <r>
    <x v="2"/>
    <s v="Delivered"/>
    <s v="Cash"/>
    <n v="0.3"/>
    <n v="89.954999999999998"/>
    <n v="75"/>
    <n v="14.954999999999998"/>
  </r>
  <r>
    <x v="3"/>
    <s v="Delivered"/>
    <s v="Credit Card"/>
    <n v="0.22"/>
    <n v="199.98"/>
    <n v="1600"/>
    <n v="-1400.02"/>
  </r>
  <r>
    <x v="0"/>
    <s v="Delivered"/>
    <s v="Credit Card"/>
    <n v="0.15"/>
    <n v="284.9905"/>
    <n v="250"/>
    <n v="34.990499999999997"/>
  </r>
  <r>
    <x v="1"/>
    <s v="Delivered"/>
    <s v="Debit Card"/>
    <n v="0.28000000000000003"/>
    <n v="319.95999999999998"/>
    <n v="240"/>
    <n v="79.95999999999998"/>
  </r>
  <r>
    <x v="2"/>
    <s v="Pending"/>
    <s v="Cash"/>
    <n v="0.32"/>
    <n v="67.983000000000004"/>
    <n v="60"/>
    <n v="7.9830000000000041"/>
  </r>
  <r>
    <x v="3"/>
    <s v="Delivered"/>
    <s v="Credit Card"/>
    <n v="0.2"/>
    <n v="449.97"/>
    <n v="360"/>
    <n v="89.970000000000027"/>
  </r>
  <r>
    <x v="1"/>
    <s v="Delivered"/>
    <s v="Bank Transfer"/>
    <n v="0.26"/>
    <n v="80.991"/>
    <n v="70"/>
    <n v="10.991"/>
  </r>
  <r>
    <x v="0"/>
    <s v="Delivered"/>
    <s v="Credit Card"/>
    <n v="0.22"/>
    <n v="474.95249999999999"/>
    <n v="4000"/>
    <n v="-3525.0475000000001"/>
  </r>
  <r>
    <x v="2"/>
    <s v="Pending"/>
    <s v="Cash"/>
    <n v="0.25"/>
    <n v="99.98"/>
    <n v="80"/>
    <n v="19.980000000000004"/>
  </r>
  <r>
    <x v="3"/>
    <s v="Delivered"/>
    <s v="Debit Card"/>
    <n v="0.18"/>
    <n v="199.99"/>
    <n v="150"/>
    <n v="49.990000000000009"/>
  </r>
  <r>
    <x v="0"/>
    <s v="Delivered"/>
    <s v="Credit Card"/>
    <n v="0.3"/>
    <n v="59.97"/>
    <n v="45"/>
    <n v="14.969999999999999"/>
  </r>
  <r>
    <x v="1"/>
    <s v="Delivered"/>
    <s v="Bank Transfer"/>
    <n v="0.15"/>
    <n v="299.99"/>
    <n v="250"/>
    <n v="49.990000000000009"/>
  </r>
  <r>
    <x v="2"/>
    <s v="Pending"/>
    <s v="Cash"/>
    <n v="0.22"/>
    <n v="359.964"/>
    <n v="3200"/>
    <n v="-2840.0360000000001"/>
  </r>
  <r>
    <x v="3"/>
    <s v="Delivered"/>
    <s v="Credit Card"/>
    <n v="0.28000000000000003"/>
    <n v="159.97999999999999"/>
    <n v="120"/>
    <n v="39.97999999999999"/>
  </r>
  <r>
    <x v="0"/>
    <s v="Delivered"/>
    <s v="Credit Card"/>
    <n v="0.2"/>
    <n v="142.4905"/>
    <n v="120"/>
    <n v="22.490499999999997"/>
  </r>
  <r>
    <x v="1"/>
    <s v="Delivered"/>
    <s v="Debit Card"/>
    <n v="0.32"/>
    <n v="119.97"/>
    <n v="90"/>
    <n v="29.97"/>
  </r>
  <r>
    <x v="2"/>
    <s v="Pending"/>
    <s v="Bank Transfer"/>
    <n v="0.26"/>
    <n v="179.98"/>
    <n v="140"/>
    <n v="39.97999999999999"/>
  </r>
  <r>
    <x v="3"/>
    <s v="Delivered"/>
    <s v="Credit Card"/>
    <n v="0.25"/>
    <n v="44.991"/>
    <n v="40"/>
    <n v="4.9909999999999997"/>
  </r>
  <r>
    <x v="0"/>
    <s v="Delivered"/>
    <s v="Credit Card"/>
    <n v="0.18"/>
    <n v="569.97149999999999"/>
    <n v="450"/>
    <n v="119.97149999999999"/>
  </r>
  <r>
    <x v="1"/>
    <s v="Delivered"/>
    <s v="Bank Transfer"/>
    <n v="0.3"/>
    <n v="39.979999999999997"/>
    <n v="30"/>
    <n v="9.9799999999999969"/>
  </r>
  <r>
    <x v="2"/>
    <s v="Pending"/>
    <s v="Cash"/>
    <n v="0.22"/>
    <n v="99.99"/>
    <n v="800"/>
    <n v="-700.01"/>
  </r>
  <r>
    <x v="3"/>
    <s v="Delivered"/>
    <s v="Credit Card"/>
    <n v="0.15"/>
    <n v="1079.9640000000002"/>
    <n v="1000"/>
    <n v="79.964000000000169"/>
  </r>
  <r>
    <x v="0"/>
    <s v="Delivered"/>
    <s v="Debit Card"/>
    <n v="0.28000000000000003"/>
    <n v="79.989999999999995"/>
    <n v="60"/>
    <n v="19.98999999999999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x v="0"/>
    <x v="0"/>
  </r>
  <r>
    <x v="1"/>
    <x v="1"/>
    <x v="0"/>
  </r>
  <r>
    <x v="2"/>
    <x v="2"/>
    <x v="1"/>
  </r>
  <r>
    <x v="3"/>
    <x v="3"/>
    <x v="0"/>
  </r>
  <r>
    <x v="4"/>
    <x v="4"/>
    <x v="2"/>
  </r>
  <r>
    <x v="5"/>
    <x v="5"/>
    <x v="2"/>
  </r>
  <r>
    <x v="6"/>
    <x v="6"/>
    <x v="1"/>
  </r>
  <r>
    <x v="7"/>
    <x v="7"/>
    <x v="0"/>
  </r>
  <r>
    <x v="8"/>
    <x v="8"/>
    <x v="0"/>
  </r>
  <r>
    <x v="9"/>
    <x v="3"/>
    <x v="0"/>
  </r>
  <r>
    <x v="10"/>
    <x v="0"/>
    <x v="0"/>
  </r>
  <r>
    <x v="1"/>
    <x v="1"/>
    <x v="0"/>
  </r>
  <r>
    <x v="11"/>
    <x v="2"/>
    <x v="1"/>
  </r>
  <r>
    <x v="1"/>
    <x v="4"/>
    <x v="2"/>
  </r>
  <r>
    <x v="12"/>
    <x v="3"/>
    <x v="0"/>
  </r>
  <r>
    <x v="13"/>
    <x v="5"/>
    <x v="2"/>
  </r>
  <r>
    <x v="14"/>
    <x v="7"/>
    <x v="0"/>
  </r>
  <r>
    <x v="15"/>
    <x v="6"/>
    <x v="1"/>
  </r>
  <r>
    <x v="13"/>
    <x v="8"/>
    <x v="0"/>
  </r>
  <r>
    <x v="16"/>
    <x v="0"/>
    <x v="0"/>
  </r>
  <r>
    <x v="17"/>
    <x v="1"/>
    <x v="0"/>
  </r>
  <r>
    <x v="18"/>
    <x v="2"/>
    <x v="1"/>
  </r>
  <r>
    <x v="19"/>
    <x v="3"/>
    <x v="0"/>
  </r>
  <r>
    <x v="20"/>
    <x v="4"/>
    <x v="2"/>
  </r>
  <r>
    <x v="21"/>
    <x v="5"/>
    <x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n v="3"/>
    <n v="49.99"/>
    <n v="0.05"/>
    <s v="North"/>
    <s v="Alice"/>
    <s v="Delivered"/>
    <s v="Credit Card"/>
    <n v="0.25"/>
    <n v="142.47149999999999"/>
    <n v="120"/>
    <n v="22.471499999999992"/>
  </r>
  <r>
    <x v="1"/>
    <n v="1"/>
    <n v="199.99"/>
    <n v="0"/>
    <s v="South"/>
    <s v="Bob"/>
    <s v="Pending"/>
    <s v="Bank Transfer"/>
    <n v="0.18"/>
    <n v="199.99"/>
    <n v="150"/>
    <n v="49.990000000000009"/>
  </r>
  <r>
    <x v="2"/>
    <n v="5"/>
    <n v="19.989999999999998"/>
    <n v="0.1"/>
    <s v="East"/>
    <s v="Carol"/>
    <s v="Delivered"/>
    <s v="Cash"/>
    <n v="0.3"/>
    <n v="89.954999999999998"/>
    <n v="75"/>
    <n v="14.954999999999998"/>
  </r>
  <r>
    <x v="3"/>
    <n v="2"/>
    <n v="99.99"/>
    <n v="0"/>
    <s v="West"/>
    <s v="David"/>
    <s v="Delivered"/>
    <s v="Credit Card"/>
    <n v="0.22"/>
    <n v="199.98"/>
    <n v="1600"/>
    <n v="-1400.02"/>
  </r>
  <r>
    <x v="4"/>
    <n v="1"/>
    <n v="299.99"/>
    <n v="0.05"/>
    <s v="North"/>
    <s v="Alice"/>
    <s v="Delivered"/>
    <s v="Credit Card"/>
    <n v="0.15"/>
    <n v="284.9905"/>
    <n v="250"/>
    <n v="34.990499999999997"/>
  </r>
  <r>
    <x v="5"/>
    <n v="4"/>
    <n v="79.989999999999995"/>
    <n v="0"/>
    <s v="South"/>
    <s v="Bob"/>
    <s v="Delivered"/>
    <s v="Debit Card"/>
    <n v="0.28000000000000003"/>
    <n v="319.95999999999998"/>
    <n v="240"/>
    <n v="79.95999999999998"/>
  </r>
  <r>
    <x v="6"/>
    <n v="2"/>
    <n v="39.99"/>
    <n v="0.15"/>
    <s v="East"/>
    <s v="Carol"/>
    <s v="Pending"/>
    <s v="Cash"/>
    <n v="0.32"/>
    <n v="67.983000000000004"/>
    <n v="60"/>
    <n v="7.9830000000000041"/>
  </r>
  <r>
    <x v="7"/>
    <n v="3"/>
    <n v="149.99"/>
    <n v="0"/>
    <s v="West"/>
    <s v="David"/>
    <s v="Delivered"/>
    <s v="Credit Card"/>
    <n v="0.2"/>
    <n v="449.97"/>
    <n v="360"/>
    <n v="89.970000000000027"/>
  </r>
  <r>
    <x v="8"/>
    <n v="1"/>
    <n v="89.99"/>
    <n v="0.1"/>
    <s v="South"/>
    <s v="Bob"/>
    <s v="Delivered"/>
    <s v="Bank Transfer"/>
    <n v="0.26"/>
    <n v="80.991"/>
    <n v="70"/>
    <n v="10.991"/>
  </r>
  <r>
    <x v="9"/>
    <n v="5"/>
    <n v="99.99"/>
    <n v="0.05"/>
    <s v="North"/>
    <s v="Alice"/>
    <s v="Delivered"/>
    <s v="Credit Card"/>
    <n v="0.22"/>
    <n v="474.95249999999999"/>
    <n v="4000"/>
    <n v="-3525.0475000000001"/>
  </r>
  <r>
    <x v="10"/>
    <n v="2"/>
    <n v="49.99"/>
    <n v="0"/>
    <s v="East"/>
    <s v="Carol"/>
    <s v="Pending"/>
    <s v="Cash"/>
    <n v="0.25"/>
    <n v="99.98"/>
    <n v="80"/>
    <n v="19.980000000000004"/>
  </r>
  <r>
    <x v="11"/>
    <n v="1"/>
    <n v="199.99"/>
    <n v="0"/>
    <s v="West"/>
    <s v="David"/>
    <s v="Delivered"/>
    <s v="Debit Card"/>
    <n v="0.18"/>
    <n v="199.99"/>
    <n v="150"/>
    <n v="49.990000000000009"/>
  </r>
  <r>
    <x v="12"/>
    <n v="3"/>
    <n v="19.989999999999998"/>
    <n v="0"/>
    <s v="North"/>
    <s v="Alice"/>
    <s v="Delivered"/>
    <s v="Credit Card"/>
    <n v="0.3"/>
    <n v="59.97"/>
    <n v="45"/>
    <n v="14.969999999999999"/>
  </r>
  <r>
    <x v="13"/>
    <n v="1"/>
    <n v="299.99"/>
    <n v="0"/>
    <s v="South"/>
    <s v="Bob"/>
    <s v="Delivered"/>
    <s v="Bank Transfer"/>
    <n v="0.15"/>
    <n v="299.99"/>
    <n v="250"/>
    <n v="49.990000000000009"/>
  </r>
  <r>
    <x v="14"/>
    <n v="4"/>
    <n v="99.99"/>
    <n v="0.1"/>
    <s v="East"/>
    <s v="Carol"/>
    <s v="Pending"/>
    <s v="Cash"/>
    <n v="0.22"/>
    <n v="359.964"/>
    <n v="3200"/>
    <n v="-2840.0360000000001"/>
  </r>
  <r>
    <x v="15"/>
    <n v="2"/>
    <n v="79.989999999999995"/>
    <n v="0"/>
    <s v="West"/>
    <s v="David"/>
    <s v="Delivered"/>
    <s v="Credit Card"/>
    <n v="0.28000000000000003"/>
    <n v="159.97999999999999"/>
    <n v="120"/>
    <n v="39.97999999999999"/>
  </r>
  <r>
    <x v="16"/>
    <n v="1"/>
    <n v="149.99"/>
    <n v="0.05"/>
    <s v="North"/>
    <s v="Alice"/>
    <s v="Delivered"/>
    <s v="Credit Card"/>
    <n v="0.2"/>
    <n v="142.4905"/>
    <n v="120"/>
    <n v="22.490499999999997"/>
  </r>
  <r>
    <x v="17"/>
    <n v="3"/>
    <n v="39.99"/>
    <n v="0"/>
    <s v="South"/>
    <s v="Bob"/>
    <s v="Delivered"/>
    <s v="Debit Card"/>
    <n v="0.32"/>
    <n v="119.97"/>
    <n v="90"/>
    <n v="29.97"/>
  </r>
  <r>
    <x v="18"/>
    <n v="2"/>
    <n v="89.99"/>
    <n v="0"/>
    <s v="East"/>
    <s v="Carol"/>
    <s v="Pending"/>
    <s v="Bank Transfer"/>
    <n v="0.26"/>
    <n v="179.98"/>
    <n v="140"/>
    <n v="39.97999999999999"/>
  </r>
  <r>
    <x v="19"/>
    <n v="1"/>
    <n v="49.99"/>
    <n v="0.1"/>
    <s v="West"/>
    <s v="David"/>
    <s v="Delivered"/>
    <s v="Credit Card"/>
    <n v="0.25"/>
    <n v="44.991"/>
    <n v="40"/>
    <n v="4.9909999999999997"/>
  </r>
  <r>
    <x v="20"/>
    <n v="3"/>
    <n v="199.99"/>
    <n v="0.05"/>
    <s v="North"/>
    <s v="Alice"/>
    <s v="Delivered"/>
    <s v="Credit Card"/>
    <n v="0.18"/>
    <n v="569.97149999999999"/>
    <n v="450"/>
    <n v="119.97149999999999"/>
  </r>
  <r>
    <x v="21"/>
    <n v="2"/>
    <n v="19.989999999999998"/>
    <n v="0"/>
    <s v="South"/>
    <s v="Bob"/>
    <s v="Delivered"/>
    <s v="Bank Transfer"/>
    <n v="0.3"/>
    <n v="39.979999999999997"/>
    <n v="30"/>
    <n v="9.9799999999999969"/>
  </r>
  <r>
    <x v="22"/>
    <n v="1"/>
    <n v="99.99"/>
    <n v="0"/>
    <s v="East"/>
    <s v="Carol"/>
    <s v="Pending"/>
    <s v="Cash"/>
    <n v="0.22"/>
    <n v="99.99"/>
    <n v="800"/>
    <n v="-700.01"/>
  </r>
  <r>
    <x v="23"/>
    <n v="4"/>
    <n v="299.99"/>
    <n v="0.1"/>
    <s v="West"/>
    <s v="David"/>
    <s v="Delivered"/>
    <s v="Credit Card"/>
    <n v="0.15"/>
    <n v="1079.9640000000002"/>
    <n v="1000"/>
    <n v="79.964000000000169"/>
  </r>
  <r>
    <x v="24"/>
    <n v="1"/>
    <n v="79.989999999999995"/>
    <n v="0"/>
    <s v="North"/>
    <s v="Alice"/>
    <s v="Delivered"/>
    <s v="Debit Card"/>
    <n v="0.28000000000000003"/>
    <n v="79.989999999999995"/>
    <n v="60"/>
    <n v="19.989999999999995"/>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22.471499999999992"/>
    <x v="0"/>
  </r>
  <r>
    <n v="49.990000000000009"/>
    <x v="1"/>
  </r>
  <r>
    <n v="14.954999999999998"/>
    <x v="2"/>
  </r>
  <r>
    <n v="-1400.02"/>
    <x v="3"/>
  </r>
  <r>
    <n v="34.990499999999997"/>
    <x v="4"/>
  </r>
  <r>
    <n v="79.95999999999998"/>
    <x v="5"/>
  </r>
  <r>
    <n v="7.9830000000000041"/>
    <x v="6"/>
  </r>
  <r>
    <n v="89.970000000000027"/>
    <x v="7"/>
  </r>
  <r>
    <n v="10.991"/>
    <x v="8"/>
  </r>
  <r>
    <n v="-3525.0475000000001"/>
    <x v="3"/>
  </r>
  <r>
    <n v="19.980000000000004"/>
    <x v="0"/>
  </r>
  <r>
    <n v="49.990000000000009"/>
    <x v="1"/>
  </r>
  <r>
    <n v="14.969999999999999"/>
    <x v="2"/>
  </r>
  <r>
    <n v="49.990000000000009"/>
    <x v="4"/>
  </r>
  <r>
    <n v="-2840.0360000000001"/>
    <x v="3"/>
  </r>
  <r>
    <n v="39.97999999999999"/>
    <x v="5"/>
  </r>
  <r>
    <n v="22.490499999999997"/>
    <x v="7"/>
  </r>
  <r>
    <n v="29.97"/>
    <x v="6"/>
  </r>
  <r>
    <n v="39.97999999999999"/>
    <x v="8"/>
  </r>
  <r>
    <n v="4.9909999999999997"/>
    <x v="0"/>
  </r>
  <r>
    <n v="119.97149999999999"/>
    <x v="1"/>
  </r>
  <r>
    <n v="9.9799999999999969"/>
    <x v="2"/>
  </r>
  <r>
    <n v="-700.01"/>
    <x v="3"/>
  </r>
  <r>
    <n v="79.964000000000169"/>
    <x v="4"/>
  </r>
  <r>
    <n v="19.989999999999995"/>
    <x v="5"/>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0.25"/>
    <n v="142.47149999999999"/>
    <n v="120"/>
    <n v="22.471499999999992"/>
    <x v="0"/>
  </r>
  <r>
    <n v="0.18"/>
    <n v="199.99"/>
    <n v="150"/>
    <n v="49.990000000000009"/>
    <x v="1"/>
  </r>
  <r>
    <n v="0.3"/>
    <n v="89.954999999999998"/>
    <n v="75"/>
    <n v="14.954999999999998"/>
    <x v="2"/>
  </r>
  <r>
    <n v="0.22"/>
    <n v="199.98"/>
    <n v="1600"/>
    <n v="-1400.02"/>
    <x v="3"/>
  </r>
  <r>
    <n v="0.15"/>
    <n v="284.9905"/>
    <n v="250"/>
    <n v="34.990499999999997"/>
    <x v="4"/>
  </r>
  <r>
    <n v="0.28000000000000003"/>
    <n v="319.95999999999998"/>
    <n v="240"/>
    <n v="79.95999999999998"/>
    <x v="5"/>
  </r>
  <r>
    <n v="0.32"/>
    <n v="67.983000000000004"/>
    <n v="60"/>
    <n v="7.9830000000000041"/>
    <x v="6"/>
  </r>
  <r>
    <n v="0.2"/>
    <n v="449.97"/>
    <n v="360"/>
    <n v="89.970000000000027"/>
    <x v="7"/>
  </r>
  <r>
    <n v="0.26"/>
    <n v="80.991"/>
    <n v="70"/>
    <n v="10.991"/>
    <x v="8"/>
  </r>
  <r>
    <n v="0.22"/>
    <n v="474.95249999999999"/>
    <n v="4000"/>
    <n v="-3525.0475000000001"/>
    <x v="3"/>
  </r>
  <r>
    <n v="0.25"/>
    <n v="99.98"/>
    <n v="80"/>
    <n v="19.980000000000004"/>
    <x v="0"/>
  </r>
  <r>
    <n v="0.18"/>
    <n v="199.99"/>
    <n v="150"/>
    <n v="49.990000000000009"/>
    <x v="1"/>
  </r>
  <r>
    <n v="0.3"/>
    <n v="59.97"/>
    <n v="45"/>
    <n v="14.969999999999999"/>
    <x v="2"/>
  </r>
  <r>
    <n v="0.15"/>
    <n v="299.99"/>
    <n v="250"/>
    <n v="49.990000000000009"/>
    <x v="4"/>
  </r>
  <r>
    <n v="0.22"/>
    <n v="359.964"/>
    <n v="3200"/>
    <n v="-2840.0360000000001"/>
    <x v="3"/>
  </r>
  <r>
    <n v="0.28000000000000003"/>
    <n v="159.97999999999999"/>
    <n v="120"/>
    <n v="39.97999999999999"/>
    <x v="5"/>
  </r>
  <r>
    <n v="0.2"/>
    <n v="142.4905"/>
    <n v="120"/>
    <n v="22.490499999999997"/>
    <x v="7"/>
  </r>
  <r>
    <n v="0.32"/>
    <n v="119.97"/>
    <n v="90"/>
    <n v="29.97"/>
    <x v="6"/>
  </r>
  <r>
    <n v="0.26"/>
    <n v="179.98"/>
    <n v="140"/>
    <n v="39.97999999999999"/>
    <x v="8"/>
  </r>
  <r>
    <n v="0.25"/>
    <n v="44.991"/>
    <n v="40"/>
    <n v="4.9909999999999997"/>
    <x v="0"/>
  </r>
  <r>
    <n v="0.18"/>
    <n v="569.97149999999999"/>
    <n v="450"/>
    <n v="119.97149999999999"/>
    <x v="1"/>
  </r>
  <r>
    <n v="0.3"/>
    <n v="39.979999999999997"/>
    <n v="30"/>
    <n v="9.9799999999999969"/>
    <x v="2"/>
  </r>
  <r>
    <n v="0.22"/>
    <n v="99.99"/>
    <n v="800"/>
    <n v="-700.01"/>
    <x v="3"/>
  </r>
  <r>
    <n v="0.15"/>
    <n v="1079.9640000000002"/>
    <n v="1000"/>
    <n v="79.964000000000169"/>
    <x v="4"/>
  </r>
  <r>
    <n v="0.28000000000000003"/>
    <n v="79.989999999999995"/>
    <n v="60"/>
    <n v="19.989999999999995"/>
    <x v="5"/>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x v="0"/>
    <s v="Alice"/>
    <x v="0"/>
  </r>
  <r>
    <x v="1"/>
    <s v="Bob"/>
    <x v="1"/>
  </r>
  <r>
    <x v="2"/>
    <s v="Carol"/>
    <x v="0"/>
  </r>
  <r>
    <x v="3"/>
    <s v="David"/>
    <x v="0"/>
  </r>
  <r>
    <x v="0"/>
    <s v="Alice"/>
    <x v="0"/>
  </r>
  <r>
    <x v="1"/>
    <s v="Bob"/>
    <x v="0"/>
  </r>
  <r>
    <x v="2"/>
    <s v="Carol"/>
    <x v="1"/>
  </r>
  <r>
    <x v="3"/>
    <s v="David"/>
    <x v="0"/>
  </r>
  <r>
    <x v="1"/>
    <s v="Bob"/>
    <x v="0"/>
  </r>
  <r>
    <x v="0"/>
    <s v="Alice"/>
    <x v="0"/>
  </r>
  <r>
    <x v="2"/>
    <s v="Carol"/>
    <x v="1"/>
  </r>
  <r>
    <x v="3"/>
    <s v="David"/>
    <x v="0"/>
  </r>
  <r>
    <x v="0"/>
    <s v="Alice"/>
    <x v="0"/>
  </r>
  <r>
    <x v="1"/>
    <s v="Bob"/>
    <x v="0"/>
  </r>
  <r>
    <x v="2"/>
    <s v="Carol"/>
    <x v="1"/>
  </r>
  <r>
    <x v="3"/>
    <s v="David"/>
    <x v="0"/>
  </r>
  <r>
    <x v="0"/>
    <s v="Alice"/>
    <x v="0"/>
  </r>
  <r>
    <x v="1"/>
    <s v="Bob"/>
    <x v="0"/>
  </r>
  <r>
    <x v="2"/>
    <s v="Carol"/>
    <x v="1"/>
  </r>
  <r>
    <x v="3"/>
    <s v="David"/>
    <x v="0"/>
  </r>
  <r>
    <x v="0"/>
    <s v="Alice"/>
    <x v="0"/>
  </r>
  <r>
    <x v="1"/>
    <s v="Bob"/>
    <x v="0"/>
  </r>
  <r>
    <x v="2"/>
    <s v="Carol"/>
    <x v="1"/>
  </r>
  <r>
    <x v="3"/>
    <s v="David"/>
    <x v="0"/>
  </r>
  <r>
    <x v="0"/>
    <s v="Alice"/>
    <x v="0"/>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0.05"/>
    <x v="0"/>
  </r>
  <r>
    <n v="0"/>
    <x v="1"/>
  </r>
  <r>
    <n v="0.1"/>
    <x v="2"/>
  </r>
  <r>
    <n v="0"/>
    <x v="3"/>
  </r>
  <r>
    <n v="0.05"/>
    <x v="0"/>
  </r>
  <r>
    <n v="0"/>
    <x v="1"/>
  </r>
  <r>
    <n v="0.15"/>
    <x v="2"/>
  </r>
  <r>
    <n v="0"/>
    <x v="3"/>
  </r>
  <r>
    <n v="0.1"/>
    <x v="1"/>
  </r>
  <r>
    <n v="0.05"/>
    <x v="0"/>
  </r>
  <r>
    <n v="0"/>
    <x v="2"/>
  </r>
  <r>
    <n v="0"/>
    <x v="3"/>
  </r>
  <r>
    <n v="0"/>
    <x v="0"/>
  </r>
  <r>
    <n v="0"/>
    <x v="1"/>
  </r>
  <r>
    <n v="0.1"/>
    <x v="2"/>
  </r>
  <r>
    <n v="0"/>
    <x v="3"/>
  </r>
  <r>
    <n v="0.05"/>
    <x v="0"/>
  </r>
  <r>
    <n v="0"/>
    <x v="1"/>
  </r>
  <r>
    <n v="0"/>
    <x v="2"/>
  </r>
  <r>
    <n v="0.1"/>
    <x v="3"/>
  </r>
  <r>
    <n v="0.05"/>
    <x v="0"/>
  </r>
  <r>
    <n v="0"/>
    <x v="1"/>
  </r>
  <r>
    <n v="0"/>
    <x v="2"/>
  </r>
  <r>
    <n v="0.1"/>
    <x v="3"/>
  </r>
  <r>
    <n v="0"/>
    <x v="0"/>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
  <r>
    <n v="0.05"/>
    <s v="North"/>
    <s v="Alice"/>
    <s v="Delivered"/>
    <s v="Credit Card"/>
    <n v="0.25"/>
    <n v="142.47149999999999"/>
    <n v="120"/>
    <n v="22.471499999999992"/>
    <x v="0"/>
    <x v="0"/>
    <x v="0"/>
  </r>
  <r>
    <n v="0"/>
    <s v="South"/>
    <s v="Bob"/>
    <s v="Pending"/>
    <s v="Bank Transfer"/>
    <n v="0.18"/>
    <n v="199.99"/>
    <n v="150"/>
    <n v="49.990000000000009"/>
    <x v="1"/>
    <x v="0"/>
    <x v="0"/>
  </r>
  <r>
    <n v="0.1"/>
    <s v="East"/>
    <s v="Carol"/>
    <s v="Delivered"/>
    <s v="Cash"/>
    <n v="0.3"/>
    <n v="89.954999999999998"/>
    <n v="75"/>
    <n v="14.954999999999998"/>
    <x v="2"/>
    <x v="1"/>
    <x v="1"/>
  </r>
  <r>
    <n v="0"/>
    <s v="West"/>
    <s v="David"/>
    <s v="Delivered"/>
    <s v="Credit Card"/>
    <n v="0.22"/>
    <n v="199.98"/>
    <n v="1600"/>
    <n v="-1400.02"/>
    <x v="3"/>
    <x v="0"/>
    <x v="0"/>
  </r>
  <r>
    <n v="0.05"/>
    <s v="North"/>
    <s v="Alice"/>
    <s v="Delivered"/>
    <s v="Credit Card"/>
    <n v="0.15"/>
    <n v="284.9905"/>
    <n v="250"/>
    <n v="34.990499999999997"/>
    <x v="4"/>
    <x v="2"/>
    <x v="2"/>
  </r>
  <r>
    <n v="0"/>
    <s v="South"/>
    <s v="Bob"/>
    <s v="Delivered"/>
    <s v="Debit Card"/>
    <n v="0.28000000000000003"/>
    <n v="319.95999999999998"/>
    <n v="240"/>
    <n v="79.95999999999998"/>
    <x v="5"/>
    <x v="2"/>
    <x v="3"/>
  </r>
  <r>
    <n v="0.15"/>
    <s v="East"/>
    <s v="Carol"/>
    <s v="Pending"/>
    <s v="Cash"/>
    <n v="0.32"/>
    <n v="67.983000000000004"/>
    <n v="60"/>
    <n v="7.9830000000000041"/>
    <x v="6"/>
    <x v="1"/>
    <x v="1"/>
  </r>
  <r>
    <n v="0"/>
    <s v="West"/>
    <s v="David"/>
    <s v="Delivered"/>
    <s v="Credit Card"/>
    <n v="0.2"/>
    <n v="449.97"/>
    <n v="360"/>
    <n v="89.970000000000027"/>
    <x v="7"/>
    <x v="0"/>
    <x v="4"/>
  </r>
  <r>
    <n v="0.1"/>
    <s v="South"/>
    <s v="Bob"/>
    <s v="Delivered"/>
    <s v="Bank Transfer"/>
    <n v="0.26"/>
    <n v="80.991"/>
    <n v="70"/>
    <n v="10.991"/>
    <x v="8"/>
    <x v="0"/>
    <x v="4"/>
  </r>
  <r>
    <n v="0.05"/>
    <s v="North"/>
    <s v="Alice"/>
    <s v="Delivered"/>
    <s v="Credit Card"/>
    <n v="0.22"/>
    <n v="474.95249999999999"/>
    <n v="4000"/>
    <n v="-3525.0475000000001"/>
    <x v="3"/>
    <x v="0"/>
    <x v="0"/>
  </r>
  <r>
    <n v="0"/>
    <s v="East"/>
    <s v="Carol"/>
    <s v="Pending"/>
    <s v="Cash"/>
    <n v="0.25"/>
    <n v="99.98"/>
    <n v="80"/>
    <n v="19.980000000000004"/>
    <x v="0"/>
    <x v="0"/>
    <x v="0"/>
  </r>
  <r>
    <n v="0"/>
    <s v="West"/>
    <s v="David"/>
    <s v="Delivered"/>
    <s v="Debit Card"/>
    <n v="0.18"/>
    <n v="199.99"/>
    <n v="150"/>
    <n v="49.990000000000009"/>
    <x v="1"/>
    <x v="0"/>
    <x v="0"/>
  </r>
  <r>
    <n v="0"/>
    <s v="North"/>
    <s v="Alice"/>
    <s v="Delivered"/>
    <s v="Credit Card"/>
    <n v="0.3"/>
    <n v="59.97"/>
    <n v="45"/>
    <n v="14.969999999999999"/>
    <x v="2"/>
    <x v="1"/>
    <x v="1"/>
  </r>
  <r>
    <n v="0"/>
    <s v="South"/>
    <s v="Bob"/>
    <s v="Delivered"/>
    <s v="Bank Transfer"/>
    <n v="0.15"/>
    <n v="299.99"/>
    <n v="250"/>
    <n v="49.990000000000009"/>
    <x v="4"/>
    <x v="2"/>
    <x v="2"/>
  </r>
  <r>
    <n v="0.1"/>
    <s v="East"/>
    <s v="Carol"/>
    <s v="Pending"/>
    <s v="Cash"/>
    <n v="0.22"/>
    <n v="359.964"/>
    <n v="3200"/>
    <n v="-2840.0360000000001"/>
    <x v="3"/>
    <x v="0"/>
    <x v="0"/>
  </r>
  <r>
    <n v="0"/>
    <s v="West"/>
    <s v="David"/>
    <s v="Delivered"/>
    <s v="Credit Card"/>
    <n v="0.28000000000000003"/>
    <n v="159.97999999999999"/>
    <n v="120"/>
    <n v="39.97999999999999"/>
    <x v="5"/>
    <x v="2"/>
    <x v="3"/>
  </r>
  <r>
    <n v="0.05"/>
    <s v="North"/>
    <s v="Alice"/>
    <s v="Delivered"/>
    <s v="Credit Card"/>
    <n v="0.2"/>
    <n v="142.4905"/>
    <n v="120"/>
    <n v="22.490499999999997"/>
    <x v="7"/>
    <x v="0"/>
    <x v="4"/>
  </r>
  <r>
    <n v="0"/>
    <s v="South"/>
    <s v="Bob"/>
    <s v="Delivered"/>
    <s v="Debit Card"/>
    <n v="0.32"/>
    <n v="119.97"/>
    <n v="90"/>
    <n v="29.97"/>
    <x v="6"/>
    <x v="1"/>
    <x v="1"/>
  </r>
  <r>
    <n v="0"/>
    <s v="East"/>
    <s v="Carol"/>
    <s v="Pending"/>
    <s v="Bank Transfer"/>
    <n v="0.26"/>
    <n v="179.98"/>
    <n v="140"/>
    <n v="39.97999999999999"/>
    <x v="8"/>
    <x v="0"/>
    <x v="4"/>
  </r>
  <r>
    <n v="0.1"/>
    <s v="West"/>
    <s v="David"/>
    <s v="Delivered"/>
    <s v="Credit Card"/>
    <n v="0.25"/>
    <n v="44.991"/>
    <n v="40"/>
    <n v="4.9909999999999997"/>
    <x v="0"/>
    <x v="0"/>
    <x v="0"/>
  </r>
  <r>
    <n v="0.05"/>
    <s v="North"/>
    <s v="Alice"/>
    <s v="Delivered"/>
    <s v="Credit Card"/>
    <n v="0.18"/>
    <n v="569.97149999999999"/>
    <n v="450"/>
    <n v="119.97149999999999"/>
    <x v="1"/>
    <x v="0"/>
    <x v="0"/>
  </r>
  <r>
    <n v="0"/>
    <s v="South"/>
    <s v="Bob"/>
    <s v="Delivered"/>
    <s v="Bank Transfer"/>
    <n v="0.3"/>
    <n v="39.979999999999997"/>
    <n v="30"/>
    <n v="9.9799999999999969"/>
    <x v="2"/>
    <x v="1"/>
    <x v="1"/>
  </r>
  <r>
    <n v="0"/>
    <s v="East"/>
    <s v="Carol"/>
    <s v="Pending"/>
    <s v="Cash"/>
    <n v="0.22"/>
    <n v="99.99"/>
    <n v="800"/>
    <n v="-700.01"/>
    <x v="3"/>
    <x v="0"/>
    <x v="0"/>
  </r>
  <r>
    <n v="0.1"/>
    <s v="West"/>
    <s v="David"/>
    <s v="Delivered"/>
    <s v="Credit Card"/>
    <n v="0.15"/>
    <n v="1079.9640000000002"/>
    <n v="1000"/>
    <n v="79.964000000000169"/>
    <x v="4"/>
    <x v="2"/>
    <x v="2"/>
  </r>
  <r>
    <n v="0"/>
    <s v="North"/>
    <s v="Alice"/>
    <s v="Delivered"/>
    <s v="Debit Card"/>
    <n v="0.28000000000000003"/>
    <n v="79.989999999999995"/>
    <n v="60"/>
    <n v="19.989999999999995"/>
    <x v="5"/>
    <x v="2"/>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E06192-8DFD-7A41-A5C3-3F6149BF8B57}" name="PivotTable11"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96:F102" firstHeaderRow="1" firstDataRow="1" firstDataCol="1"/>
  <pivotFields count="12">
    <pivotField dataField="1" showAll="0"/>
    <pivotField showAll="0"/>
    <pivotField showAll="0"/>
    <pivotField showAll="0"/>
    <pivotField showAll="0"/>
    <pivotField showAll="0"/>
    <pivotField showAll="0"/>
    <pivotField showAll="0"/>
    <pivotField showAll="0"/>
    <pivotField showAll="0">
      <items count="10">
        <item x="5"/>
        <item x="4"/>
        <item x="3"/>
        <item x="0"/>
        <item x="7"/>
        <item x="6"/>
        <item x="2"/>
        <item x="8"/>
        <item x="1"/>
        <item t="default"/>
      </items>
    </pivotField>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axis="axisRow" showAll="0" sortType="descending">
      <items count="6">
        <item x="4"/>
        <item x="2"/>
        <item x="3"/>
        <item x="1"/>
        <item x="0"/>
        <item t="default"/>
      </items>
      <autoSortScope>
        <pivotArea dataOnly="0" outline="0" fieldPosition="0">
          <references count="1">
            <reference field="4294967294" count="1" selected="0">
              <x v="0"/>
            </reference>
          </references>
        </pivotArea>
      </autoSortScope>
    </pivotField>
  </pivotFields>
  <rowFields count="1">
    <field x="11"/>
  </rowFields>
  <rowItems count="6">
    <i>
      <x v="4"/>
    </i>
    <i>
      <x v="3"/>
    </i>
    <i>
      <x/>
    </i>
    <i>
      <x v="1"/>
    </i>
    <i>
      <x v="2"/>
    </i>
    <i t="grand">
      <x/>
    </i>
  </rowItems>
  <colItems count="1">
    <i/>
  </colItems>
  <dataFields count="1">
    <dataField name="Sum of Discount"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B0D76B1-611D-B143-82EA-4AA354F72EEB}" name="PivotTable12" cacheId="5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05:F109" firstHeaderRow="1" firstDataRow="1" firstDataCol="1"/>
  <pivotFields count="12">
    <pivotField dataField="1" showAll="0"/>
    <pivotField showAll="0"/>
    <pivotField showAll="0"/>
    <pivotField showAll="0"/>
    <pivotField showAll="0"/>
    <pivotField showAll="0"/>
    <pivotField showAll="0"/>
    <pivotField showAll="0"/>
    <pivotField showAll="0"/>
    <pivotField showAll="0">
      <items count="10">
        <item x="5"/>
        <item x="4"/>
        <item x="3"/>
        <item x="0"/>
        <item x="7"/>
        <item x="6"/>
        <item x="2"/>
        <item x="8"/>
        <item x="1"/>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pivotFields>
  <rowFields count="1">
    <field x="10"/>
  </rowFields>
  <rowItems count="4">
    <i>
      <x/>
    </i>
    <i>
      <x v="2"/>
    </i>
    <i>
      <x v="1"/>
    </i>
    <i t="grand">
      <x/>
    </i>
  </rowItems>
  <colItems count="1">
    <i/>
  </colItems>
  <dataFields count="1">
    <dataField name="Sum of Discount"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614F117-659D-304D-ADD1-D7D848D065CB}" name="PivotTable10" cacheId="4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8:C103" firstHeaderRow="0" firstDataRow="1" firstDataCol="1"/>
  <pivotFields count="2">
    <pivotField dataField="1" showAll="0"/>
    <pivotField axis="axisRow" showAll="0">
      <items count="5">
        <item x="2"/>
        <item x="0"/>
        <item x="1"/>
        <item x="3"/>
        <item t="default"/>
      </items>
    </pivotField>
  </pivotFields>
  <rowFields count="1">
    <field x="1"/>
  </rowFields>
  <rowItems count="5">
    <i>
      <x/>
    </i>
    <i>
      <x v="1"/>
    </i>
    <i>
      <x v="2"/>
    </i>
    <i>
      <x v="3"/>
    </i>
    <i t="grand">
      <x/>
    </i>
  </rowItems>
  <colFields count="1">
    <field x="-2"/>
  </colFields>
  <colItems count="2">
    <i>
      <x/>
    </i>
    <i i="1">
      <x v="1"/>
    </i>
  </colItems>
  <dataFields count="2">
    <dataField name="Average of Discount" fld="0" subtotal="average" baseField="0" baseItem="0"/>
    <dataField name="Sum of Discount" fld="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8A6413-AE60-3948-8A64-A61CB5E48147}" name="PivotTable9" cacheId="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63:E68" firstHeaderRow="1" firstDataRow="1" firstDataCol="1"/>
  <pivotFields count="3">
    <pivotField axis="axisRow" showAll="0">
      <items count="5">
        <item x="2"/>
        <item x="0"/>
        <item x="1"/>
        <item x="3"/>
        <item t="default"/>
      </items>
    </pivotField>
    <pivotField showAll="0"/>
    <pivotField dataField="1" showAll="0">
      <items count="3">
        <item x="0"/>
        <item x="1"/>
        <item t="default"/>
      </items>
    </pivotField>
  </pivotFields>
  <rowFields count="1">
    <field x="0"/>
  </rowFields>
  <rowItems count="5">
    <i>
      <x/>
    </i>
    <i>
      <x v="1"/>
    </i>
    <i>
      <x v="2"/>
    </i>
    <i>
      <x v="3"/>
    </i>
    <i t="grand">
      <x/>
    </i>
  </rowItems>
  <colItems count="1">
    <i/>
  </colItems>
  <dataFields count="1">
    <dataField name="Count of DeliveryStatus"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68E37F4-4663-4A4E-92A1-01D70160E0C5}" name="PivotTable8" cacheId="4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51:J61" firstHeaderRow="1" firstDataRow="1" firstDataCol="1"/>
  <pivotFields count="5">
    <pivotField dataField="1" showAll="0"/>
    <pivotField showAll="0"/>
    <pivotField showAll="0"/>
    <pivotField showAll="0"/>
    <pivotField axis="axisRow" showAll="0">
      <items count="10">
        <item x="5"/>
        <item x="4"/>
        <item x="3"/>
        <item x="0"/>
        <item x="7"/>
        <item x="6"/>
        <item x="2"/>
        <item x="8"/>
        <item x="1"/>
        <item t="default"/>
      </items>
    </pivotField>
  </pivotFields>
  <rowFields count="1">
    <field x="4"/>
  </rowFields>
  <rowItems count="10">
    <i>
      <x/>
    </i>
    <i>
      <x v="1"/>
    </i>
    <i>
      <x v="2"/>
    </i>
    <i>
      <x v="3"/>
    </i>
    <i>
      <x v="4"/>
    </i>
    <i>
      <x v="5"/>
    </i>
    <i>
      <x v="6"/>
    </i>
    <i>
      <x v="7"/>
    </i>
    <i>
      <x v="8"/>
    </i>
    <i t="grand">
      <x/>
    </i>
  </rowItems>
  <colItems count="1">
    <i/>
  </colItems>
  <dataFields count="1">
    <dataField name="Average of ProfitMargin" fld="0"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73EBE35-99E1-DC4D-BA7C-827B49DAF1ED}" name="PivotTable7"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1:J47" firstHeaderRow="1" firstDataRow="1" firstDataCol="1"/>
  <pivotFields count="2">
    <pivotField dataField="1" showAll="0"/>
    <pivotField axis="axisRow" showAll="0" measureFilter="1" sortType="descending">
      <items count="10">
        <item x="5"/>
        <item x="4"/>
        <item x="3"/>
        <item x="0"/>
        <item x="7"/>
        <item x="6"/>
        <item x="2"/>
        <item x="8"/>
        <item x="1"/>
        <item t="default"/>
      </items>
      <autoSortScope>
        <pivotArea dataOnly="0" outline="0" fieldPosition="0">
          <references count="1">
            <reference field="4294967294" count="1" selected="0">
              <x v="0"/>
            </reference>
          </references>
        </pivotArea>
      </autoSortScope>
    </pivotField>
  </pivotFields>
  <rowFields count="1">
    <field x="1"/>
  </rowFields>
  <rowItems count="6">
    <i>
      <x v="8"/>
    </i>
    <i>
      <x v="1"/>
    </i>
    <i>
      <x/>
    </i>
    <i>
      <x v="4"/>
    </i>
    <i>
      <x v="7"/>
    </i>
    <i t="grand">
      <x/>
    </i>
  </rowItems>
  <colItems count="1">
    <i/>
  </colItems>
  <dataFields count="1">
    <dataField name="Sum of Profit " fld="0" baseField="0" baseItem="0"/>
  </dataFields>
  <pivotTableStyleInfo name="PivotStyleLight16" showRowHeaders="1" showColHeaders="1" showRowStripes="0" showColStripes="0" showLastColumn="1"/>
  <filters count="1">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9C3611-C315-674B-AB56-E4534B2853C9}" name="PivotTable6"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1:B84" firstHeaderRow="1" firstDataRow="1" firstDataCol="1"/>
  <pivotFields count="14">
    <pivotField axis="axisRow" numFmtId="14" showAll="0">
      <items count="26">
        <item x="0"/>
        <item x="1"/>
        <item x="2"/>
        <item x="3"/>
        <item x="4"/>
        <item x="5"/>
        <item x="6"/>
        <item x="7"/>
        <item x="8"/>
        <item x="9"/>
        <item x="10"/>
        <item x="11"/>
        <item x="12"/>
        <item x="13"/>
        <item x="14"/>
        <item x="15"/>
        <item x="16"/>
        <item x="17"/>
        <item x="18"/>
        <item x="19"/>
        <item x="20"/>
        <item x="21"/>
        <item x="22"/>
        <item x="23"/>
        <item x="24"/>
        <item t="default"/>
      </items>
    </pivotField>
    <pivotField showAll="0"/>
    <pivotField showAll="0"/>
    <pivotField showAll="0"/>
    <pivotField showAll="0"/>
    <pivotField showAll="0"/>
    <pivotField showAll="0"/>
    <pivotField showAll="0"/>
    <pivotField showAll="0"/>
    <pivotField showAll="0"/>
    <pivotField showAll="0"/>
    <pivotField dataField="1"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3">
    <field x="13"/>
    <field x="12"/>
    <field x="0"/>
  </rowFields>
  <rowItems count="3">
    <i>
      <x v="1"/>
    </i>
    <i>
      <x v="2"/>
    </i>
    <i t="grand">
      <x/>
    </i>
  </rowItems>
  <colItems count="1">
    <i/>
  </colItems>
  <dataFields count="1">
    <dataField name="Sum of Profit " fld="11" baseField="0" baseItem="0"/>
  </dataFields>
  <chartFormats count="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5D3B7C7-825F-4B4E-A62C-3B47F18A3AD1}" name="PivotTable5"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67:B71" firstHeaderRow="1" firstDataRow="1" firstDataCol="1"/>
  <pivotFields count="3">
    <pivotField dataField="1" showAll="0"/>
    <pivotField showAll="0"/>
    <pivotField axis="axisRow" showAll="0">
      <items count="4">
        <item x="0"/>
        <item x="2"/>
        <item x="1"/>
        <item t="default"/>
      </items>
    </pivotField>
  </pivotFields>
  <rowFields count="1">
    <field x="2"/>
  </rowFields>
  <rowItems count="4">
    <i>
      <x/>
    </i>
    <i>
      <x v="1"/>
    </i>
    <i>
      <x v="2"/>
    </i>
    <i t="grand">
      <x/>
    </i>
  </rowItems>
  <colItems count="1">
    <i/>
  </colItems>
  <dataFields count="1">
    <dataField name="Sum of Profit " fld="0" baseField="0" baseItem="0"/>
  </dataFields>
  <chartFormats count="1">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0B3CD4-06D1-FA44-B058-4F4F3469F322}" name="PivotTable4" cacheId="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8:B63" firstHeaderRow="1" firstDataRow="1" firstDataCol="1"/>
  <pivotFields count="7">
    <pivotField axis="axisRow" showAll="0">
      <items count="5">
        <item x="0"/>
        <item x="1"/>
        <item x="2"/>
        <item x="3"/>
        <item t="default"/>
      </items>
    </pivotField>
    <pivotField showAll="0"/>
    <pivotField showAll="0"/>
    <pivotField showAll="0"/>
    <pivotField showAll="0"/>
    <pivotField showAll="0"/>
    <pivotField dataField="1" showAll="0"/>
  </pivotFields>
  <rowFields count="1">
    <field x="0"/>
  </rowFields>
  <rowItems count="5">
    <i>
      <x/>
    </i>
    <i>
      <x v="1"/>
    </i>
    <i>
      <x v="2"/>
    </i>
    <i>
      <x v="3"/>
    </i>
    <i t="grand">
      <x/>
    </i>
  </rowItems>
  <colItems count="1">
    <i/>
  </colItems>
  <dataFields count="1">
    <dataField name="Sum of Profit "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70B2656-320E-5047-B391-78CFCF9F5072}" name="PivotTable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42:B47" firstHeaderRow="1" firstDataRow="1" firstDataCol="1"/>
  <pivotFields count="8">
    <pivotField axis="axisRow" showAll="0">
      <items count="5">
        <item x="2"/>
        <item x="0"/>
        <item x="1"/>
        <item x="3"/>
        <item t="default"/>
      </items>
    </pivotField>
    <pivotField showAll="0"/>
    <pivotField showAll="0"/>
    <pivotField showAll="0"/>
    <pivotField showAll="0"/>
    <pivotField showAll="0"/>
    <pivotField showAll="0"/>
    <pivotField dataField="1" showAll="0"/>
  </pivotFields>
  <rowFields count="1">
    <field x="0"/>
  </rowFields>
  <rowItems count="5">
    <i>
      <x/>
    </i>
    <i>
      <x v="1"/>
    </i>
    <i>
      <x v="2"/>
    </i>
    <i>
      <x v="3"/>
    </i>
    <i t="grand">
      <x/>
    </i>
  </rowItems>
  <colItems count="1">
    <i/>
  </colItems>
  <dataFields count="1">
    <dataField name="Sum of Profit "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BA2E3C8-26B3-FC45-8E72-7E047A0E3541}"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0:H33" firstHeaderRow="1" firstDataRow="1" firstDataCol="1"/>
  <pivotFields count="1">
    <pivotField axis="axisRow" dataField="1" showAll="0">
      <items count="3">
        <item x="0"/>
        <item x="1"/>
        <item t="default"/>
      </items>
    </pivotField>
  </pivotFields>
  <rowFields count="1">
    <field x="0"/>
  </rowFields>
  <rowItems count="3">
    <i>
      <x/>
    </i>
    <i>
      <x v="1"/>
    </i>
    <i t="grand">
      <x/>
    </i>
  </rowItems>
  <colItems count="1">
    <i/>
  </colItems>
  <dataFields count="1">
    <dataField name="Count of DeliveryStatu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A74C5AE-453B-2547-98E0-9D3DB9F32024}"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0:E35" firstHeaderRow="1" firstDataRow="1" firstDataCol="1"/>
  <pivotFields count="1">
    <pivotField axis="axisRow" dataField="1" showAll="0">
      <items count="5">
        <item x="1"/>
        <item x="2"/>
        <item x="0"/>
        <item x="3"/>
        <item t="default"/>
      </items>
    </pivotField>
  </pivotFields>
  <rowFields count="1">
    <field x="0"/>
  </rowFields>
  <rowItems count="5">
    <i>
      <x/>
    </i>
    <i>
      <x v="1"/>
    </i>
    <i>
      <x v="2"/>
    </i>
    <i>
      <x v="3"/>
    </i>
    <i t="grand">
      <x/>
    </i>
  </rowItems>
  <colItems count="1">
    <i/>
  </colItems>
  <dataFields count="1">
    <dataField name="Count of PaymentMetho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3EE70-8CFA-DC45-92F6-E31C5D87C7B6}">
  <sheetPr filterMode="1"/>
  <dimension ref="A1:S109"/>
  <sheetViews>
    <sheetView tabSelected="1" workbookViewId="0">
      <selection activeCell="G62" sqref="G62"/>
    </sheetView>
  </sheetViews>
  <sheetFormatPr baseColWidth="10" defaultRowHeight="16" x14ac:dyDescent="0.2"/>
  <cols>
    <col min="1" max="1" width="13" bestFit="1" customWidth="1"/>
    <col min="2" max="2" width="17.83203125" bestFit="1" customWidth="1"/>
    <col min="3" max="3" width="14.6640625" bestFit="1" customWidth="1"/>
    <col min="4" max="4" width="13" bestFit="1" customWidth="1"/>
    <col min="5" max="5" width="23.6640625" customWidth="1"/>
    <col min="6" max="6" width="14.6640625" bestFit="1" customWidth="1"/>
    <col min="7" max="7" width="13" bestFit="1" customWidth="1"/>
    <col min="8" max="8" width="20.6640625" bestFit="1" customWidth="1"/>
    <col min="9" max="9" width="26" bestFit="1" customWidth="1"/>
    <col min="10" max="10" width="20.6640625" bestFit="1" customWidth="1"/>
    <col min="14" max="14" width="13.5" customWidth="1"/>
    <col min="16" max="16" width="21" style="19" customWidth="1"/>
  </cols>
  <sheetData>
    <row r="1" spans="1:19" x14ac:dyDescent="0.2">
      <c r="A1" s="16" t="s">
        <v>0</v>
      </c>
      <c r="B1" s="16" t="s">
        <v>1</v>
      </c>
      <c r="C1" s="16" t="s">
        <v>2</v>
      </c>
      <c r="D1" s="16" t="s">
        <v>3</v>
      </c>
      <c r="E1" s="16" t="s">
        <v>4</v>
      </c>
      <c r="F1" s="16" t="s">
        <v>5</v>
      </c>
      <c r="G1" s="16" t="s">
        <v>6</v>
      </c>
      <c r="H1" s="16" t="s">
        <v>7</v>
      </c>
      <c r="I1" s="16" t="s">
        <v>8</v>
      </c>
      <c r="J1" s="16" t="s">
        <v>9</v>
      </c>
      <c r="K1" s="16" t="s">
        <v>10</v>
      </c>
      <c r="L1" s="16" t="s">
        <v>11</v>
      </c>
      <c r="M1" s="16" t="s">
        <v>94</v>
      </c>
      <c r="N1" s="16" t="s">
        <v>95</v>
      </c>
      <c r="O1" s="16" t="s">
        <v>96</v>
      </c>
      <c r="P1" s="16" t="s">
        <v>45</v>
      </c>
      <c r="Q1" s="16" t="s">
        <v>46</v>
      </c>
      <c r="R1" s="16" t="s">
        <v>47</v>
      </c>
      <c r="S1" s="16" t="s">
        <v>48</v>
      </c>
    </row>
    <row r="2" spans="1:19" ht="17" x14ac:dyDescent="0.2">
      <c r="A2" s="17">
        <v>1001</v>
      </c>
      <c r="B2" s="17" t="s">
        <v>12</v>
      </c>
      <c r="C2" s="17" t="s">
        <v>13</v>
      </c>
      <c r="D2" s="18">
        <v>45306</v>
      </c>
      <c r="E2" s="17">
        <v>3</v>
      </c>
      <c r="F2" s="17">
        <v>49.99</v>
      </c>
      <c r="G2" s="17">
        <v>0.05</v>
      </c>
      <c r="H2" s="17" t="s">
        <v>14</v>
      </c>
      <c r="I2" s="17" t="s">
        <v>15</v>
      </c>
      <c r="J2" s="17" t="s">
        <v>16</v>
      </c>
      <c r="K2" s="17" t="s">
        <v>17</v>
      </c>
      <c r="L2" s="17">
        <v>0.25</v>
      </c>
      <c r="M2" s="17">
        <f>SUM(E2*F2*(1-G2))</f>
        <v>142.47149999999999</v>
      </c>
      <c r="N2" s="17">
        <f>VLOOKUP(C2, Product_Details!$A$2:$E$11, 5, FALSE) * E2</f>
        <v>120</v>
      </c>
      <c r="O2" s="17">
        <f>M2-N2</f>
        <v>22.471499999999992</v>
      </c>
      <c r="P2" s="19" t="str">
        <f>VLOOKUP(C2,Product_Details!$A$2:$E$11,2,FALSE)</f>
        <v>Mechanical Keyboard</v>
      </c>
      <c r="Q2" t="str">
        <f>VLOOKUP(C2,Product_Details!$A$2:$E$11,3,FALSE)</f>
        <v>Electronics</v>
      </c>
      <c r="R2" t="str">
        <f>VLOOKUP(C2,Product_Details!$A$2:$E$11,4,FALSE)</f>
        <v>TechCorp</v>
      </c>
      <c r="S2">
        <f>VLOOKUP(C2,Product_Details!$A$2:$E$11,5,FALSE)</f>
        <v>40</v>
      </c>
    </row>
    <row r="3" spans="1:19" ht="17" x14ac:dyDescent="0.2">
      <c r="A3" s="17">
        <v>1002</v>
      </c>
      <c r="B3" s="17" t="s">
        <v>18</v>
      </c>
      <c r="C3" s="17" t="s">
        <v>19</v>
      </c>
      <c r="D3" s="18">
        <v>45307</v>
      </c>
      <c r="E3" s="17">
        <v>1</v>
      </c>
      <c r="F3" s="17">
        <v>199.99</v>
      </c>
      <c r="G3" s="17">
        <v>0</v>
      </c>
      <c r="H3" s="17" t="s">
        <v>20</v>
      </c>
      <c r="I3" s="17" t="s">
        <v>21</v>
      </c>
      <c r="J3" s="17" t="s">
        <v>22</v>
      </c>
      <c r="K3" s="17" t="s">
        <v>23</v>
      </c>
      <c r="L3" s="17">
        <v>0.18</v>
      </c>
      <c r="M3" s="17">
        <f>SUM(E3*F3*(1-G3))</f>
        <v>199.99</v>
      </c>
      <c r="N3" s="17">
        <f>VLOOKUP(C3, Product_Details!$A$2:$E$11, 5, FALSE) * E3</f>
        <v>150</v>
      </c>
      <c r="O3" s="17">
        <f t="shared" ref="O3:O26" si="0">M3-N3</f>
        <v>49.990000000000009</v>
      </c>
      <c r="P3" s="19" t="str">
        <f>VLOOKUP(C3,Product_Details!$A$2:$E$11,2,FALSE)</f>
        <v>Wireless Mouse</v>
      </c>
      <c r="Q3" t="str">
        <f>VLOOKUP(C3,Product_Details!$A$2:$E$11,3,FALSE)</f>
        <v>Electronics</v>
      </c>
      <c r="R3" t="str">
        <f>VLOOKUP(C3,Product_Details!$A$2:$E$11,4,FALSE)</f>
        <v>TechCorp</v>
      </c>
      <c r="S3">
        <f>VLOOKUP(C3,Product_Details!$A$2:$E$11,5,FALSE)</f>
        <v>150</v>
      </c>
    </row>
    <row r="4" spans="1:19" ht="17" x14ac:dyDescent="0.2">
      <c r="A4" s="17">
        <v>1003</v>
      </c>
      <c r="B4" s="17" t="s">
        <v>24</v>
      </c>
      <c r="C4" s="17" t="s">
        <v>25</v>
      </c>
      <c r="D4" s="18">
        <v>45308</v>
      </c>
      <c r="E4" s="17">
        <v>5</v>
      </c>
      <c r="F4" s="17">
        <v>19.989999999999998</v>
      </c>
      <c r="G4" s="17">
        <v>0.1</v>
      </c>
      <c r="H4" s="17" t="s">
        <v>26</v>
      </c>
      <c r="I4" s="17" t="s">
        <v>27</v>
      </c>
      <c r="J4" s="17" t="s">
        <v>16</v>
      </c>
      <c r="K4" s="17" t="s">
        <v>28</v>
      </c>
      <c r="L4" s="17">
        <v>0.3</v>
      </c>
      <c r="M4" s="17">
        <f>SUM(E4*F4*(1-G4))</f>
        <v>89.954999999999998</v>
      </c>
      <c r="N4" s="17">
        <f>VLOOKUP(C4, Product_Details!$A$2:$E$11, 5, FALSE) * E4</f>
        <v>75</v>
      </c>
      <c r="O4" s="17">
        <f t="shared" si="0"/>
        <v>14.954999999999998</v>
      </c>
      <c r="P4" s="19" t="str">
        <f>VLOOKUP(C4,Product_Details!$A$2:$E$11,2,FALSE)</f>
        <v>Pen Set Premium</v>
      </c>
      <c r="Q4" t="str">
        <f>VLOOKUP(C4,Product_Details!$A$2:$E$11,3,FALSE)</f>
        <v>Office Supplies</v>
      </c>
      <c r="R4" t="str">
        <f>VLOOKUP(C4,Product_Details!$A$2:$E$11,4,FALSE)</f>
        <v>StationeryPlus</v>
      </c>
      <c r="S4">
        <f>VLOOKUP(C4,Product_Details!$A$2:$E$11,5,FALSE)</f>
        <v>15</v>
      </c>
    </row>
    <row r="5" spans="1:19" ht="17" x14ac:dyDescent="0.2">
      <c r="A5" s="17">
        <v>1004</v>
      </c>
      <c r="B5" s="17" t="s">
        <v>29</v>
      </c>
      <c r="C5" s="17" t="s">
        <v>30</v>
      </c>
      <c r="D5" s="18">
        <v>45309</v>
      </c>
      <c r="E5" s="17">
        <v>2</v>
      </c>
      <c r="F5" s="17">
        <v>99.99</v>
      </c>
      <c r="G5" s="17">
        <v>0</v>
      </c>
      <c r="H5" s="17" t="s">
        <v>31</v>
      </c>
      <c r="I5" s="17" t="s">
        <v>32</v>
      </c>
      <c r="J5" s="17" t="s">
        <v>16</v>
      </c>
      <c r="K5" s="17" t="s">
        <v>17</v>
      </c>
      <c r="L5" s="17">
        <v>0.22</v>
      </c>
      <c r="M5" s="17">
        <f>SUM(E5*F5*(1-G5))</f>
        <v>199.98</v>
      </c>
      <c r="N5" s="17">
        <f>VLOOKUP(C5, Product_Details!$A$2:$E$11, 5, FALSE) * E5</f>
        <v>1600</v>
      </c>
      <c r="O5" s="17">
        <f t="shared" si="0"/>
        <v>-1400.02</v>
      </c>
      <c r="P5" s="19" t="str">
        <f>VLOOKUP(C5,Product_Details!$A$2:$E$11,2,FALSE)</f>
        <v>Laptop Pro</v>
      </c>
      <c r="Q5" t="str">
        <f>VLOOKUP(C5,Product_Details!$A$2:$E$11,3,FALSE)</f>
        <v>Electronics</v>
      </c>
      <c r="R5" t="str">
        <f>VLOOKUP(C5,Product_Details!$A$2:$E$11,4,FALSE)</f>
        <v>TechCorp</v>
      </c>
      <c r="S5">
        <f>VLOOKUP(C5,Product_Details!$A$2:$E$11,5,FALSE)</f>
        <v>800</v>
      </c>
    </row>
    <row r="6" spans="1:19" ht="17" x14ac:dyDescent="0.2">
      <c r="A6" s="17">
        <v>1005</v>
      </c>
      <c r="B6" s="17" t="s">
        <v>12</v>
      </c>
      <c r="C6" s="17" t="s">
        <v>33</v>
      </c>
      <c r="D6" s="18">
        <v>45310</v>
      </c>
      <c r="E6" s="17">
        <v>1</v>
      </c>
      <c r="F6" s="17">
        <v>299.99</v>
      </c>
      <c r="G6" s="17">
        <v>0.05</v>
      </c>
      <c r="H6" s="17" t="s">
        <v>14</v>
      </c>
      <c r="I6" s="17" t="s">
        <v>15</v>
      </c>
      <c r="J6" s="17" t="s">
        <v>16</v>
      </c>
      <c r="K6" s="17" t="s">
        <v>17</v>
      </c>
      <c r="L6" s="17">
        <v>0.15</v>
      </c>
      <c r="M6" s="17">
        <f>SUM(E6*F6*(1-G6))</f>
        <v>284.9905</v>
      </c>
      <c r="N6" s="17">
        <f>VLOOKUP(C6, Product_Details!$A$2:$E$11, 5, FALSE) * E6</f>
        <v>250</v>
      </c>
      <c r="O6" s="17">
        <f t="shared" si="0"/>
        <v>34.990499999999997</v>
      </c>
      <c r="P6" s="19" t="str">
        <f>VLOOKUP(C6,Product_Details!$A$2:$E$11,2,FALSE)</f>
        <v>Ergonomic Chair</v>
      </c>
      <c r="Q6" t="str">
        <f>VLOOKUP(C6,Product_Details!$A$2:$E$11,3,FALSE)</f>
        <v>Office Furniture</v>
      </c>
      <c r="R6" t="str">
        <f>VLOOKUP(C6,Product_Details!$A$2:$E$11,4,FALSE)</f>
        <v>FurniMart</v>
      </c>
      <c r="S6">
        <f>VLOOKUP(C6,Product_Details!$A$2:$E$11,5,FALSE)</f>
        <v>250</v>
      </c>
    </row>
    <row r="7" spans="1:19" ht="17" x14ac:dyDescent="0.2">
      <c r="A7" s="17">
        <v>1006</v>
      </c>
      <c r="B7" s="17" t="s">
        <v>34</v>
      </c>
      <c r="C7" s="17" t="s">
        <v>35</v>
      </c>
      <c r="D7" s="18">
        <v>45311</v>
      </c>
      <c r="E7" s="17">
        <v>4</v>
      </c>
      <c r="F7" s="17">
        <v>79.989999999999995</v>
      </c>
      <c r="G7" s="17">
        <v>0</v>
      </c>
      <c r="H7" s="17" t="s">
        <v>20</v>
      </c>
      <c r="I7" s="17" t="s">
        <v>21</v>
      </c>
      <c r="J7" s="17" t="s">
        <v>16</v>
      </c>
      <c r="K7" s="17" t="s">
        <v>36</v>
      </c>
      <c r="L7" s="17">
        <v>0.28000000000000003</v>
      </c>
      <c r="M7" s="17">
        <f>SUM(E7*F7*(1-G7))</f>
        <v>319.95999999999998</v>
      </c>
      <c r="N7" s="17">
        <f>VLOOKUP(C7, Product_Details!$A$2:$E$11, 5, FALSE) * E7</f>
        <v>240</v>
      </c>
      <c r="O7" s="17">
        <f t="shared" si="0"/>
        <v>79.95999999999998</v>
      </c>
      <c r="P7" s="19" t="str">
        <f>VLOOKUP(C7,Product_Details!$A$2:$E$11,2,FALSE)</f>
        <v>Desk Lamp</v>
      </c>
      <c r="Q7" t="str">
        <f>VLOOKUP(C7,Product_Details!$A$2:$E$11,3,FALSE)</f>
        <v>Office Furniture</v>
      </c>
      <c r="R7" t="str">
        <f>VLOOKUP(C7,Product_Details!$A$2:$E$11,4,FALSE)</f>
        <v>LightCo</v>
      </c>
      <c r="S7">
        <f>VLOOKUP(C7,Product_Details!$A$2:$E$11,5,FALSE)</f>
        <v>60</v>
      </c>
    </row>
    <row r="8" spans="1:19" ht="17" x14ac:dyDescent="0.2">
      <c r="A8" s="17">
        <v>1007</v>
      </c>
      <c r="B8" s="17" t="s">
        <v>37</v>
      </c>
      <c r="C8" s="17" t="s">
        <v>38</v>
      </c>
      <c r="D8" s="18">
        <v>45312</v>
      </c>
      <c r="E8" s="17">
        <v>2</v>
      </c>
      <c r="F8" s="17">
        <v>39.99</v>
      </c>
      <c r="G8" s="17">
        <v>0.15</v>
      </c>
      <c r="H8" s="17" t="s">
        <v>26</v>
      </c>
      <c r="I8" s="17" t="s">
        <v>27</v>
      </c>
      <c r="J8" s="17" t="s">
        <v>22</v>
      </c>
      <c r="K8" s="17" t="s">
        <v>28</v>
      </c>
      <c r="L8" s="17">
        <v>0.32</v>
      </c>
      <c r="M8" s="17">
        <f>SUM(E8*F8*(1-G8))</f>
        <v>67.983000000000004</v>
      </c>
      <c r="N8" s="17">
        <f>VLOOKUP(C8, Product_Details!$A$2:$E$11, 5, FALSE) * E8</f>
        <v>60</v>
      </c>
      <c r="O8" s="17">
        <f t="shared" si="0"/>
        <v>7.9830000000000041</v>
      </c>
      <c r="P8" s="19" t="str">
        <f>VLOOKUP(C8,Product_Details!$A$2:$E$11,2,FALSE)</f>
        <v>Notebook (A4)</v>
      </c>
      <c r="Q8" t="str">
        <f>VLOOKUP(C8,Product_Details!$A$2:$E$11,3,FALSE)</f>
        <v>Office Supplies</v>
      </c>
      <c r="R8" t="str">
        <f>VLOOKUP(C8,Product_Details!$A$2:$E$11,4,FALSE)</f>
        <v>StationeryPlus</v>
      </c>
      <c r="S8">
        <f>VLOOKUP(C8,Product_Details!$A$2:$E$11,5,FALSE)</f>
        <v>30</v>
      </c>
    </row>
    <row r="9" spans="1:19" ht="34" x14ac:dyDescent="0.2">
      <c r="A9" s="17">
        <v>1008</v>
      </c>
      <c r="B9" s="17" t="s">
        <v>39</v>
      </c>
      <c r="C9" s="17" t="s">
        <v>40</v>
      </c>
      <c r="D9" s="18">
        <v>45313</v>
      </c>
      <c r="E9" s="17">
        <v>3</v>
      </c>
      <c r="F9" s="17">
        <v>149.99</v>
      </c>
      <c r="G9" s="17">
        <v>0</v>
      </c>
      <c r="H9" s="17" t="s">
        <v>31</v>
      </c>
      <c r="I9" s="17" t="s">
        <v>32</v>
      </c>
      <c r="J9" s="17" t="s">
        <v>16</v>
      </c>
      <c r="K9" s="17" t="s">
        <v>17</v>
      </c>
      <c r="L9" s="17">
        <v>0.2</v>
      </c>
      <c r="M9" s="17">
        <f>SUM(E9*F9*(1-G9))</f>
        <v>449.97</v>
      </c>
      <c r="N9" s="17">
        <f>VLOOKUP(C9, Product_Details!$A$2:$E$11, 5, FALSE) * E9</f>
        <v>360</v>
      </c>
      <c r="O9" s="17">
        <f t="shared" si="0"/>
        <v>89.970000000000027</v>
      </c>
      <c r="P9" s="19" t="str">
        <f>VLOOKUP(C9,Product_Details!$A$2:$E$11,2,FALSE)</f>
        <v>Noise-Cancelling Headphones</v>
      </c>
      <c r="Q9" t="str">
        <f>VLOOKUP(C9,Product_Details!$A$2:$E$11,3,FALSE)</f>
        <v>Electronics</v>
      </c>
      <c r="R9" t="str">
        <f>VLOOKUP(C9,Product_Details!$A$2:$E$11,4,FALSE)</f>
        <v>AudioMax</v>
      </c>
      <c r="S9">
        <f>VLOOKUP(C9,Product_Details!$A$2:$E$11,5,FALSE)</f>
        <v>120</v>
      </c>
    </row>
    <row r="10" spans="1:19" ht="17" x14ac:dyDescent="0.2">
      <c r="A10" s="17">
        <v>1009</v>
      </c>
      <c r="B10" s="17" t="s">
        <v>18</v>
      </c>
      <c r="C10" s="17" t="s">
        <v>41</v>
      </c>
      <c r="D10" s="18">
        <v>45314</v>
      </c>
      <c r="E10" s="17">
        <v>1</v>
      </c>
      <c r="F10" s="17">
        <v>89.99</v>
      </c>
      <c r="G10" s="17">
        <v>0.1</v>
      </c>
      <c r="H10" s="17" t="s">
        <v>20</v>
      </c>
      <c r="I10" s="17" t="s">
        <v>21</v>
      </c>
      <c r="J10" s="17" t="s">
        <v>16</v>
      </c>
      <c r="K10" s="17" t="s">
        <v>23</v>
      </c>
      <c r="L10" s="17">
        <v>0.26</v>
      </c>
      <c r="M10" s="17">
        <f>SUM(E10*F10*(1-G10))</f>
        <v>80.991</v>
      </c>
      <c r="N10" s="17">
        <f>VLOOKUP(C10, Product_Details!$A$2:$E$11, 5, FALSE) * E10</f>
        <v>70</v>
      </c>
      <c r="O10" s="17">
        <f t="shared" si="0"/>
        <v>10.991</v>
      </c>
      <c r="P10" s="19" t="str">
        <f>VLOOKUP(C10,Product_Details!$A$2:$E$11,2,FALSE)</f>
        <v>Webcam HD</v>
      </c>
      <c r="Q10" t="str">
        <f>VLOOKUP(C10,Product_Details!$A$2:$E$11,3,FALSE)</f>
        <v>Electronics</v>
      </c>
      <c r="R10" t="str">
        <f>VLOOKUP(C10,Product_Details!$A$2:$E$11,4,FALSE)</f>
        <v>AudioMax</v>
      </c>
      <c r="S10">
        <f>VLOOKUP(C10,Product_Details!$A$2:$E$11,5,FALSE)</f>
        <v>70</v>
      </c>
    </row>
    <row r="11" spans="1:19" ht="17" x14ac:dyDescent="0.2">
      <c r="A11" s="17">
        <v>1010</v>
      </c>
      <c r="B11" s="17" t="s">
        <v>42</v>
      </c>
      <c r="C11" s="17" t="s">
        <v>30</v>
      </c>
      <c r="D11" s="18">
        <v>45315</v>
      </c>
      <c r="E11" s="17">
        <v>5</v>
      </c>
      <c r="F11" s="17">
        <v>99.99</v>
      </c>
      <c r="G11" s="17">
        <v>0.05</v>
      </c>
      <c r="H11" s="17" t="s">
        <v>14</v>
      </c>
      <c r="I11" s="17" t="s">
        <v>15</v>
      </c>
      <c r="J11" s="17" t="s">
        <v>16</v>
      </c>
      <c r="K11" s="17" t="s">
        <v>17</v>
      </c>
      <c r="L11" s="17">
        <v>0.22</v>
      </c>
      <c r="M11" s="17">
        <f>SUM(E11*F11*(1-G11))</f>
        <v>474.95249999999999</v>
      </c>
      <c r="N11" s="17">
        <f>VLOOKUP(C11, Product_Details!$A$2:$E$11, 5, FALSE) * E11</f>
        <v>4000</v>
      </c>
      <c r="O11" s="17">
        <f t="shared" si="0"/>
        <v>-3525.0475000000001</v>
      </c>
      <c r="P11" s="19" t="str">
        <f>VLOOKUP(C11,Product_Details!$A$2:$E$11,2,FALSE)</f>
        <v>Laptop Pro</v>
      </c>
      <c r="Q11" t="str">
        <f>VLOOKUP(C11,Product_Details!$A$2:$E$11,3,FALSE)</f>
        <v>Electronics</v>
      </c>
      <c r="R11" t="str">
        <f>VLOOKUP(C11,Product_Details!$A$2:$E$11,4,FALSE)</f>
        <v>TechCorp</v>
      </c>
      <c r="S11">
        <f>VLOOKUP(C11,Product_Details!$A$2:$E$11,5,FALSE)</f>
        <v>800</v>
      </c>
    </row>
    <row r="12" spans="1:19" ht="17" x14ac:dyDescent="0.2">
      <c r="A12" s="17">
        <v>1011</v>
      </c>
      <c r="B12" s="17" t="s">
        <v>24</v>
      </c>
      <c r="C12" s="17" t="s">
        <v>13</v>
      </c>
      <c r="D12" s="18">
        <v>45316</v>
      </c>
      <c r="E12" s="17">
        <v>2</v>
      </c>
      <c r="F12" s="17">
        <v>49.99</v>
      </c>
      <c r="G12" s="17">
        <v>0</v>
      </c>
      <c r="H12" s="17" t="s">
        <v>26</v>
      </c>
      <c r="I12" s="17" t="s">
        <v>27</v>
      </c>
      <c r="J12" s="17" t="s">
        <v>22</v>
      </c>
      <c r="K12" s="17" t="s">
        <v>28</v>
      </c>
      <c r="L12" s="17">
        <v>0.25</v>
      </c>
      <c r="M12" s="17">
        <f>SUM(E12*F12*(1-G12))</f>
        <v>99.98</v>
      </c>
      <c r="N12" s="17">
        <f>VLOOKUP(C12, Product_Details!$A$2:$E$11, 5, FALSE) * E12</f>
        <v>80</v>
      </c>
      <c r="O12" s="17">
        <f t="shared" si="0"/>
        <v>19.980000000000004</v>
      </c>
      <c r="P12" s="19" t="str">
        <f>VLOOKUP(C12,Product_Details!$A$2:$E$11,2,FALSE)</f>
        <v>Mechanical Keyboard</v>
      </c>
      <c r="Q12" t="str">
        <f>VLOOKUP(C12,Product_Details!$A$2:$E$11,3,FALSE)</f>
        <v>Electronics</v>
      </c>
      <c r="R12" t="str">
        <f>VLOOKUP(C12,Product_Details!$A$2:$E$11,4,FALSE)</f>
        <v>TechCorp</v>
      </c>
      <c r="S12">
        <f>VLOOKUP(C12,Product_Details!$A$2:$E$11,5,FALSE)</f>
        <v>40</v>
      </c>
    </row>
    <row r="13" spans="1:19" ht="17" x14ac:dyDescent="0.2">
      <c r="A13" s="17">
        <v>1012</v>
      </c>
      <c r="B13" s="17" t="s">
        <v>43</v>
      </c>
      <c r="C13" s="17" t="s">
        <v>19</v>
      </c>
      <c r="D13" s="18">
        <v>45323</v>
      </c>
      <c r="E13" s="17">
        <v>1</v>
      </c>
      <c r="F13" s="17">
        <v>199.99</v>
      </c>
      <c r="G13" s="17">
        <v>0</v>
      </c>
      <c r="H13" s="17" t="s">
        <v>31</v>
      </c>
      <c r="I13" s="17" t="s">
        <v>32</v>
      </c>
      <c r="J13" s="17" t="s">
        <v>16</v>
      </c>
      <c r="K13" s="17" t="s">
        <v>36</v>
      </c>
      <c r="L13" s="17">
        <v>0.18</v>
      </c>
      <c r="M13" s="17">
        <f>SUM(E13*F13*(1-G13))</f>
        <v>199.99</v>
      </c>
      <c r="N13" s="17">
        <f>VLOOKUP(C13, Product_Details!$A$2:$E$11, 5, FALSE) * E13</f>
        <v>150</v>
      </c>
      <c r="O13" s="17">
        <f t="shared" si="0"/>
        <v>49.990000000000009</v>
      </c>
      <c r="P13" s="19" t="str">
        <f>VLOOKUP(C13,Product_Details!$A$2:$E$11,2,FALSE)</f>
        <v>Wireless Mouse</v>
      </c>
      <c r="Q13" t="str">
        <f>VLOOKUP(C13,Product_Details!$A$2:$E$11,3,FALSE)</f>
        <v>Electronics</v>
      </c>
      <c r="R13" t="str">
        <f>VLOOKUP(C13,Product_Details!$A$2:$E$11,4,FALSE)</f>
        <v>TechCorp</v>
      </c>
      <c r="S13">
        <f>VLOOKUP(C13,Product_Details!$A$2:$E$11,5,FALSE)</f>
        <v>150</v>
      </c>
    </row>
    <row r="14" spans="1:19" ht="17" x14ac:dyDescent="0.2">
      <c r="A14" s="17">
        <v>1013</v>
      </c>
      <c r="B14" s="17" t="s">
        <v>44</v>
      </c>
      <c r="C14" s="17" t="s">
        <v>25</v>
      </c>
      <c r="D14" s="18">
        <v>45324</v>
      </c>
      <c r="E14" s="17">
        <v>3</v>
      </c>
      <c r="F14" s="17">
        <v>19.989999999999998</v>
      </c>
      <c r="G14" s="17">
        <v>0</v>
      </c>
      <c r="H14" s="17" t="s">
        <v>14</v>
      </c>
      <c r="I14" s="17" t="s">
        <v>15</v>
      </c>
      <c r="J14" s="17" t="s">
        <v>16</v>
      </c>
      <c r="K14" s="17" t="s">
        <v>17</v>
      </c>
      <c r="L14" s="17">
        <v>0.3</v>
      </c>
      <c r="M14" s="17">
        <f>SUM(E14*F14*(1-G14))</f>
        <v>59.97</v>
      </c>
      <c r="N14" s="17">
        <f>VLOOKUP(C14, Product_Details!$A$2:$E$11, 5, FALSE) * E14</f>
        <v>45</v>
      </c>
      <c r="O14" s="17">
        <f t="shared" si="0"/>
        <v>14.969999999999999</v>
      </c>
      <c r="P14" s="19" t="str">
        <f>VLOOKUP(C14,Product_Details!$A$2:$E$11,2,FALSE)</f>
        <v>Pen Set Premium</v>
      </c>
      <c r="Q14" t="str">
        <f>VLOOKUP(C14,Product_Details!$A$2:$E$11,3,FALSE)</f>
        <v>Office Supplies</v>
      </c>
      <c r="R14" t="str">
        <f>VLOOKUP(C14,Product_Details!$A$2:$E$11,4,FALSE)</f>
        <v>StationeryPlus</v>
      </c>
      <c r="S14">
        <f>VLOOKUP(C14,Product_Details!$A$2:$E$11,5,FALSE)</f>
        <v>15</v>
      </c>
    </row>
    <row r="15" spans="1:19" ht="17" x14ac:dyDescent="0.2">
      <c r="A15" s="17">
        <v>1014</v>
      </c>
      <c r="B15" s="17" t="s">
        <v>29</v>
      </c>
      <c r="C15" s="17" t="s">
        <v>33</v>
      </c>
      <c r="D15" s="18">
        <v>45325</v>
      </c>
      <c r="E15" s="17">
        <v>1</v>
      </c>
      <c r="F15" s="17">
        <v>299.99</v>
      </c>
      <c r="G15" s="17">
        <v>0</v>
      </c>
      <c r="H15" s="17" t="s">
        <v>20</v>
      </c>
      <c r="I15" s="17" t="s">
        <v>21</v>
      </c>
      <c r="J15" s="17" t="s">
        <v>16</v>
      </c>
      <c r="K15" s="17" t="s">
        <v>23</v>
      </c>
      <c r="L15" s="17">
        <v>0.15</v>
      </c>
      <c r="M15" s="17">
        <f>SUM(E15*F15*(1-G15))</f>
        <v>299.99</v>
      </c>
      <c r="N15" s="17">
        <f>VLOOKUP(C15, Product_Details!$A$2:$E$11, 5, FALSE) * E15</f>
        <v>250</v>
      </c>
      <c r="O15" s="17">
        <f t="shared" si="0"/>
        <v>49.990000000000009</v>
      </c>
      <c r="P15" s="19" t="str">
        <f>VLOOKUP(C15,Product_Details!$A$2:$E$11,2,FALSE)</f>
        <v>Ergonomic Chair</v>
      </c>
      <c r="Q15" t="str">
        <f>VLOOKUP(C15,Product_Details!$A$2:$E$11,3,FALSE)</f>
        <v>Office Furniture</v>
      </c>
      <c r="R15" t="str">
        <f>VLOOKUP(C15,Product_Details!$A$2:$E$11,4,FALSE)</f>
        <v>FurniMart</v>
      </c>
      <c r="S15">
        <f>VLOOKUP(C15,Product_Details!$A$2:$E$11,5,FALSE)</f>
        <v>250</v>
      </c>
    </row>
    <row r="16" spans="1:19" ht="17" x14ac:dyDescent="0.2">
      <c r="A16" s="17">
        <v>1015</v>
      </c>
      <c r="B16" s="17" t="s">
        <v>34</v>
      </c>
      <c r="C16" s="17" t="s">
        <v>30</v>
      </c>
      <c r="D16" s="18">
        <v>45326</v>
      </c>
      <c r="E16" s="17">
        <v>4</v>
      </c>
      <c r="F16" s="17">
        <v>99.99</v>
      </c>
      <c r="G16" s="17">
        <v>0.1</v>
      </c>
      <c r="H16" s="17" t="s">
        <v>26</v>
      </c>
      <c r="I16" s="17" t="s">
        <v>27</v>
      </c>
      <c r="J16" s="17" t="s">
        <v>22</v>
      </c>
      <c r="K16" s="17" t="s">
        <v>28</v>
      </c>
      <c r="L16" s="17">
        <v>0.22</v>
      </c>
      <c r="M16" s="17">
        <f>SUM(E16*F16*(1-G16))</f>
        <v>359.964</v>
      </c>
      <c r="N16" s="17">
        <f>VLOOKUP(C16, Product_Details!$A$2:$E$11, 5, FALSE) * E16</f>
        <v>3200</v>
      </c>
      <c r="O16" s="17">
        <f t="shared" si="0"/>
        <v>-2840.0360000000001</v>
      </c>
      <c r="P16" s="19" t="str">
        <f>VLOOKUP(C16,Product_Details!$A$2:$E$11,2,FALSE)</f>
        <v>Laptop Pro</v>
      </c>
      <c r="Q16" t="str">
        <f>VLOOKUP(C16,Product_Details!$A$2:$E$11,3,FALSE)</f>
        <v>Electronics</v>
      </c>
      <c r="R16" t="str">
        <f>VLOOKUP(C16,Product_Details!$A$2:$E$11,4,FALSE)</f>
        <v>TechCorp</v>
      </c>
      <c r="S16">
        <f>VLOOKUP(C16,Product_Details!$A$2:$E$11,5,FALSE)</f>
        <v>800</v>
      </c>
    </row>
    <row r="17" spans="1:19" ht="17" x14ac:dyDescent="0.2">
      <c r="A17" s="17">
        <v>1016</v>
      </c>
      <c r="B17" s="17" t="s">
        <v>12</v>
      </c>
      <c r="C17" s="17" t="s">
        <v>35</v>
      </c>
      <c r="D17" s="18">
        <v>45327</v>
      </c>
      <c r="E17" s="17">
        <v>2</v>
      </c>
      <c r="F17" s="17">
        <v>79.989999999999995</v>
      </c>
      <c r="G17" s="17">
        <v>0</v>
      </c>
      <c r="H17" s="17" t="s">
        <v>31</v>
      </c>
      <c r="I17" s="17" t="s">
        <v>32</v>
      </c>
      <c r="J17" s="17" t="s">
        <v>16</v>
      </c>
      <c r="K17" s="17" t="s">
        <v>17</v>
      </c>
      <c r="L17" s="17">
        <v>0.28000000000000003</v>
      </c>
      <c r="M17" s="17">
        <f>SUM(E17*F17*(1-G17))</f>
        <v>159.97999999999999</v>
      </c>
      <c r="N17" s="17">
        <f>VLOOKUP(C17, Product_Details!$A$2:$E$11, 5, FALSE) * E17</f>
        <v>120</v>
      </c>
      <c r="O17" s="17">
        <f t="shared" si="0"/>
        <v>39.97999999999999</v>
      </c>
      <c r="P17" s="19" t="str">
        <f>VLOOKUP(C17,Product_Details!$A$2:$E$11,2,FALSE)</f>
        <v>Desk Lamp</v>
      </c>
      <c r="Q17" t="str">
        <f>VLOOKUP(C17,Product_Details!$A$2:$E$11,3,FALSE)</f>
        <v>Office Furniture</v>
      </c>
      <c r="R17" t="str">
        <f>VLOOKUP(C17,Product_Details!$A$2:$E$11,4,FALSE)</f>
        <v>LightCo</v>
      </c>
      <c r="S17">
        <f>VLOOKUP(C17,Product_Details!$A$2:$E$11,5,FALSE)</f>
        <v>60</v>
      </c>
    </row>
    <row r="18" spans="1:19" ht="34" x14ac:dyDescent="0.2">
      <c r="A18" s="17">
        <v>1017</v>
      </c>
      <c r="B18" s="17" t="s">
        <v>37</v>
      </c>
      <c r="C18" s="17" t="s">
        <v>40</v>
      </c>
      <c r="D18" s="18">
        <v>45328</v>
      </c>
      <c r="E18" s="17">
        <v>1</v>
      </c>
      <c r="F18" s="17">
        <v>149.99</v>
      </c>
      <c r="G18" s="17">
        <v>0.05</v>
      </c>
      <c r="H18" s="17" t="s">
        <v>14</v>
      </c>
      <c r="I18" s="17" t="s">
        <v>15</v>
      </c>
      <c r="J18" s="17" t="s">
        <v>16</v>
      </c>
      <c r="K18" s="17" t="s">
        <v>17</v>
      </c>
      <c r="L18" s="17">
        <v>0.2</v>
      </c>
      <c r="M18" s="17">
        <f>SUM(E18*F18*(1-G18))</f>
        <v>142.4905</v>
      </c>
      <c r="N18" s="17">
        <f>VLOOKUP(C18, Product_Details!$A$2:$E$11, 5, FALSE) * E18</f>
        <v>120</v>
      </c>
      <c r="O18" s="17">
        <f t="shared" si="0"/>
        <v>22.490499999999997</v>
      </c>
      <c r="P18" s="19" t="str">
        <f>VLOOKUP(C18,Product_Details!$A$2:$E$11,2,FALSE)</f>
        <v>Noise-Cancelling Headphones</v>
      </c>
      <c r="Q18" t="str">
        <f>VLOOKUP(C18,Product_Details!$A$2:$E$11,3,FALSE)</f>
        <v>Electronics</v>
      </c>
      <c r="R18" t="str">
        <f>VLOOKUP(C18,Product_Details!$A$2:$E$11,4,FALSE)</f>
        <v>AudioMax</v>
      </c>
      <c r="S18">
        <f>VLOOKUP(C18,Product_Details!$A$2:$E$11,5,FALSE)</f>
        <v>120</v>
      </c>
    </row>
    <row r="19" spans="1:19" ht="17" x14ac:dyDescent="0.2">
      <c r="A19" s="17">
        <v>1018</v>
      </c>
      <c r="B19" s="17" t="s">
        <v>39</v>
      </c>
      <c r="C19" s="17" t="s">
        <v>38</v>
      </c>
      <c r="D19" s="18">
        <v>45329</v>
      </c>
      <c r="E19" s="17">
        <v>3</v>
      </c>
      <c r="F19" s="17">
        <v>39.99</v>
      </c>
      <c r="G19" s="17">
        <v>0</v>
      </c>
      <c r="H19" s="17" t="s">
        <v>20</v>
      </c>
      <c r="I19" s="17" t="s">
        <v>21</v>
      </c>
      <c r="J19" s="17" t="s">
        <v>16</v>
      </c>
      <c r="K19" s="17" t="s">
        <v>36</v>
      </c>
      <c r="L19" s="17">
        <v>0.32</v>
      </c>
      <c r="M19" s="17">
        <f>SUM(E19*F19*(1-G19))</f>
        <v>119.97</v>
      </c>
      <c r="N19" s="17">
        <f>VLOOKUP(C19, Product_Details!$A$2:$E$11, 5, FALSE) * E19</f>
        <v>90</v>
      </c>
      <c r="O19" s="17">
        <f t="shared" si="0"/>
        <v>29.97</v>
      </c>
      <c r="P19" s="19" t="str">
        <f>VLOOKUP(C19,Product_Details!$A$2:$E$11,2,FALSE)</f>
        <v>Notebook (A4)</v>
      </c>
      <c r="Q19" t="str">
        <f>VLOOKUP(C19,Product_Details!$A$2:$E$11,3,FALSE)</f>
        <v>Office Supplies</v>
      </c>
      <c r="R19" t="str">
        <f>VLOOKUP(C19,Product_Details!$A$2:$E$11,4,FALSE)</f>
        <v>StationeryPlus</v>
      </c>
      <c r="S19">
        <f>VLOOKUP(C19,Product_Details!$A$2:$E$11,5,FALSE)</f>
        <v>30</v>
      </c>
    </row>
    <row r="20" spans="1:19" ht="17" x14ac:dyDescent="0.2">
      <c r="A20" s="17">
        <v>1019</v>
      </c>
      <c r="B20" s="17" t="s">
        <v>42</v>
      </c>
      <c r="C20" s="17" t="s">
        <v>41</v>
      </c>
      <c r="D20" s="18">
        <v>45330</v>
      </c>
      <c r="E20" s="17">
        <v>2</v>
      </c>
      <c r="F20" s="17">
        <v>89.99</v>
      </c>
      <c r="G20" s="17">
        <v>0</v>
      </c>
      <c r="H20" s="17" t="s">
        <v>26</v>
      </c>
      <c r="I20" s="17" t="s">
        <v>27</v>
      </c>
      <c r="J20" s="17" t="s">
        <v>22</v>
      </c>
      <c r="K20" s="17" t="s">
        <v>23</v>
      </c>
      <c r="L20" s="17">
        <v>0.26</v>
      </c>
      <c r="M20" s="17">
        <f>SUM(E20*F20*(1-G20))</f>
        <v>179.98</v>
      </c>
      <c r="N20" s="17">
        <f>VLOOKUP(C20, Product_Details!$A$2:$E$11, 5, FALSE) * E20</f>
        <v>140</v>
      </c>
      <c r="O20" s="17">
        <f t="shared" si="0"/>
        <v>39.97999999999999</v>
      </c>
      <c r="P20" s="19" t="str">
        <f>VLOOKUP(C20,Product_Details!$A$2:$E$11,2,FALSE)</f>
        <v>Webcam HD</v>
      </c>
      <c r="Q20" t="str">
        <f>VLOOKUP(C20,Product_Details!$A$2:$E$11,3,FALSE)</f>
        <v>Electronics</v>
      </c>
      <c r="R20" t="str">
        <f>VLOOKUP(C20,Product_Details!$A$2:$E$11,4,FALSE)</f>
        <v>AudioMax</v>
      </c>
      <c r="S20">
        <f>VLOOKUP(C20,Product_Details!$A$2:$E$11,5,FALSE)</f>
        <v>70</v>
      </c>
    </row>
    <row r="21" spans="1:19" ht="17" x14ac:dyDescent="0.2">
      <c r="A21" s="17">
        <v>1020</v>
      </c>
      <c r="B21" s="17" t="s">
        <v>43</v>
      </c>
      <c r="C21" s="17" t="s">
        <v>13</v>
      </c>
      <c r="D21" s="18">
        <v>45331</v>
      </c>
      <c r="E21" s="17">
        <v>1</v>
      </c>
      <c r="F21" s="17">
        <v>49.99</v>
      </c>
      <c r="G21" s="17">
        <v>0.1</v>
      </c>
      <c r="H21" s="17" t="s">
        <v>31</v>
      </c>
      <c r="I21" s="17" t="s">
        <v>32</v>
      </c>
      <c r="J21" s="17" t="s">
        <v>16</v>
      </c>
      <c r="K21" s="17" t="s">
        <v>17</v>
      </c>
      <c r="L21" s="17">
        <v>0.25</v>
      </c>
      <c r="M21" s="17">
        <f>SUM(E21*F21*(1-G21))</f>
        <v>44.991</v>
      </c>
      <c r="N21" s="17">
        <f>VLOOKUP(C21, Product_Details!$A$2:$E$11, 5, FALSE) * E21</f>
        <v>40</v>
      </c>
      <c r="O21" s="17">
        <f t="shared" si="0"/>
        <v>4.9909999999999997</v>
      </c>
      <c r="P21" s="19" t="str">
        <f>VLOOKUP(C21,Product_Details!$A$2:$E$11,2,FALSE)</f>
        <v>Mechanical Keyboard</v>
      </c>
      <c r="Q21" t="str">
        <f>VLOOKUP(C21,Product_Details!$A$2:$E$11,3,FALSE)</f>
        <v>Electronics</v>
      </c>
      <c r="R21" t="str">
        <f>VLOOKUP(C21,Product_Details!$A$2:$E$11,4,FALSE)</f>
        <v>TechCorp</v>
      </c>
      <c r="S21">
        <f>VLOOKUP(C21,Product_Details!$A$2:$E$11,5,FALSE)</f>
        <v>40</v>
      </c>
    </row>
    <row r="22" spans="1:19" ht="17" x14ac:dyDescent="0.2">
      <c r="A22" s="17">
        <v>1021</v>
      </c>
      <c r="B22" s="17" t="s">
        <v>44</v>
      </c>
      <c r="C22" s="17" t="s">
        <v>19</v>
      </c>
      <c r="D22" s="18">
        <v>45332</v>
      </c>
      <c r="E22" s="17">
        <v>3</v>
      </c>
      <c r="F22" s="17">
        <v>199.99</v>
      </c>
      <c r="G22" s="17">
        <v>0.05</v>
      </c>
      <c r="H22" s="17" t="s">
        <v>14</v>
      </c>
      <c r="I22" s="17" t="s">
        <v>15</v>
      </c>
      <c r="J22" s="17" t="s">
        <v>16</v>
      </c>
      <c r="K22" s="17" t="s">
        <v>17</v>
      </c>
      <c r="L22" s="17">
        <v>0.18</v>
      </c>
      <c r="M22" s="17">
        <f>SUM(E22*F22*(1-G22))</f>
        <v>569.97149999999999</v>
      </c>
      <c r="N22" s="17">
        <f>VLOOKUP(C22, Product_Details!$A$2:$E$11, 5, FALSE) * E22</f>
        <v>450</v>
      </c>
      <c r="O22" s="17">
        <f t="shared" si="0"/>
        <v>119.97149999999999</v>
      </c>
      <c r="P22" s="19" t="str">
        <f>VLOOKUP(C22,Product_Details!$A$2:$E$11,2,FALSE)</f>
        <v>Wireless Mouse</v>
      </c>
      <c r="Q22" t="str">
        <f>VLOOKUP(C22,Product_Details!$A$2:$E$11,3,FALSE)</f>
        <v>Electronics</v>
      </c>
      <c r="R22" t="str">
        <f>VLOOKUP(C22,Product_Details!$A$2:$E$11,4,FALSE)</f>
        <v>TechCorp</v>
      </c>
      <c r="S22">
        <f>VLOOKUP(C22,Product_Details!$A$2:$E$11,5,FALSE)</f>
        <v>150</v>
      </c>
    </row>
    <row r="23" spans="1:19" ht="17" x14ac:dyDescent="0.2">
      <c r="A23" s="17">
        <v>1022</v>
      </c>
      <c r="B23" s="17" t="s">
        <v>12</v>
      </c>
      <c r="C23" s="17" t="s">
        <v>25</v>
      </c>
      <c r="D23" s="18">
        <v>45333</v>
      </c>
      <c r="E23" s="17">
        <v>2</v>
      </c>
      <c r="F23" s="17">
        <v>19.989999999999998</v>
      </c>
      <c r="G23" s="17">
        <v>0</v>
      </c>
      <c r="H23" s="17" t="s">
        <v>20</v>
      </c>
      <c r="I23" s="17" t="s">
        <v>21</v>
      </c>
      <c r="J23" s="17" t="s">
        <v>16</v>
      </c>
      <c r="K23" s="17" t="s">
        <v>23</v>
      </c>
      <c r="L23" s="17">
        <v>0.3</v>
      </c>
      <c r="M23" s="17">
        <f>SUM(E23*F23*(1-G23))</f>
        <v>39.979999999999997</v>
      </c>
      <c r="N23" s="17">
        <f>VLOOKUP(C23, Product_Details!$A$2:$E$11, 5, FALSE) * E23</f>
        <v>30</v>
      </c>
      <c r="O23" s="17">
        <f t="shared" si="0"/>
        <v>9.9799999999999969</v>
      </c>
      <c r="P23" s="19" t="str">
        <f>VLOOKUP(C23,Product_Details!$A$2:$E$11,2,FALSE)</f>
        <v>Pen Set Premium</v>
      </c>
      <c r="Q23" t="str">
        <f>VLOOKUP(C23,Product_Details!$A$2:$E$11,3,FALSE)</f>
        <v>Office Supplies</v>
      </c>
      <c r="R23" t="str">
        <f>VLOOKUP(C23,Product_Details!$A$2:$E$11,4,FALSE)</f>
        <v>StationeryPlus</v>
      </c>
      <c r="S23">
        <f>VLOOKUP(C23,Product_Details!$A$2:$E$11,5,FALSE)</f>
        <v>15</v>
      </c>
    </row>
    <row r="24" spans="1:19" ht="17" x14ac:dyDescent="0.2">
      <c r="A24" s="17">
        <v>1023</v>
      </c>
      <c r="B24" s="17" t="s">
        <v>18</v>
      </c>
      <c r="C24" s="17" t="s">
        <v>30</v>
      </c>
      <c r="D24" s="18">
        <v>45334</v>
      </c>
      <c r="E24" s="17">
        <v>1</v>
      </c>
      <c r="F24" s="17">
        <v>99.99</v>
      </c>
      <c r="G24" s="17">
        <v>0</v>
      </c>
      <c r="H24" s="17" t="s">
        <v>26</v>
      </c>
      <c r="I24" s="17" t="s">
        <v>27</v>
      </c>
      <c r="J24" s="17" t="s">
        <v>22</v>
      </c>
      <c r="K24" s="17" t="s">
        <v>28</v>
      </c>
      <c r="L24" s="17">
        <v>0.22</v>
      </c>
      <c r="M24" s="17">
        <f>SUM(E24*F24*(1-G24))</f>
        <v>99.99</v>
      </c>
      <c r="N24" s="17">
        <f>VLOOKUP(C24, Product_Details!$A$2:$E$11, 5, FALSE) * E24</f>
        <v>800</v>
      </c>
      <c r="O24" s="17">
        <f t="shared" si="0"/>
        <v>-700.01</v>
      </c>
      <c r="P24" s="19" t="str">
        <f>VLOOKUP(C24,Product_Details!$A$2:$E$11,2,FALSE)</f>
        <v>Laptop Pro</v>
      </c>
      <c r="Q24" t="str">
        <f>VLOOKUP(C24,Product_Details!$A$2:$E$11,3,FALSE)</f>
        <v>Electronics</v>
      </c>
      <c r="R24" t="str">
        <f>VLOOKUP(C24,Product_Details!$A$2:$E$11,4,FALSE)</f>
        <v>TechCorp</v>
      </c>
      <c r="S24">
        <f>VLOOKUP(C24,Product_Details!$A$2:$E$11,5,FALSE)</f>
        <v>800</v>
      </c>
    </row>
    <row r="25" spans="1:19" ht="17" x14ac:dyDescent="0.2">
      <c r="A25" s="17">
        <v>1024</v>
      </c>
      <c r="B25" s="17" t="s">
        <v>24</v>
      </c>
      <c r="C25" s="17" t="s">
        <v>33</v>
      </c>
      <c r="D25" s="18">
        <v>45335</v>
      </c>
      <c r="E25" s="17">
        <v>4</v>
      </c>
      <c r="F25" s="17">
        <v>299.99</v>
      </c>
      <c r="G25" s="17">
        <v>0.1</v>
      </c>
      <c r="H25" s="17" t="s">
        <v>31</v>
      </c>
      <c r="I25" s="17" t="s">
        <v>32</v>
      </c>
      <c r="J25" s="17" t="s">
        <v>16</v>
      </c>
      <c r="K25" s="17" t="s">
        <v>17</v>
      </c>
      <c r="L25" s="17">
        <v>0.15</v>
      </c>
      <c r="M25" s="17">
        <f>SUM(E25*F25*(1-G25))</f>
        <v>1079.9640000000002</v>
      </c>
      <c r="N25" s="17">
        <f>VLOOKUP(C25, Product_Details!$A$2:$E$11, 5, FALSE) * E25</f>
        <v>1000</v>
      </c>
      <c r="O25" s="17">
        <f t="shared" si="0"/>
        <v>79.964000000000169</v>
      </c>
      <c r="P25" s="19" t="str">
        <f>VLOOKUP(C25,Product_Details!$A$2:$E$11,2,FALSE)</f>
        <v>Ergonomic Chair</v>
      </c>
      <c r="Q25" t="str">
        <f>VLOOKUP(C25,Product_Details!$A$2:$E$11,3,FALSE)</f>
        <v>Office Furniture</v>
      </c>
      <c r="R25" t="str">
        <f>VLOOKUP(C25,Product_Details!$A$2:$E$11,4,FALSE)</f>
        <v>FurniMart</v>
      </c>
      <c r="S25">
        <f>VLOOKUP(C25,Product_Details!$A$2:$E$11,5,FALSE)</f>
        <v>250</v>
      </c>
    </row>
    <row r="26" spans="1:19" ht="17" x14ac:dyDescent="0.2">
      <c r="A26" s="17">
        <v>1025</v>
      </c>
      <c r="B26" s="17" t="s">
        <v>29</v>
      </c>
      <c r="C26" s="17" t="s">
        <v>35</v>
      </c>
      <c r="D26" s="18">
        <v>45336</v>
      </c>
      <c r="E26" s="17">
        <v>1</v>
      </c>
      <c r="F26" s="17">
        <v>79.989999999999995</v>
      </c>
      <c r="G26" s="17">
        <v>0</v>
      </c>
      <c r="H26" s="17" t="s">
        <v>14</v>
      </c>
      <c r="I26" s="17" t="s">
        <v>15</v>
      </c>
      <c r="J26" s="17" t="s">
        <v>16</v>
      </c>
      <c r="K26" s="17" t="s">
        <v>36</v>
      </c>
      <c r="L26" s="17">
        <v>0.28000000000000003</v>
      </c>
      <c r="M26" s="17">
        <f>SUM(E26*F26*(1-G26))</f>
        <v>79.989999999999995</v>
      </c>
      <c r="N26" s="17">
        <f>VLOOKUP(C26, Product_Details!$A$2:$E$11, 5, FALSE) * E26</f>
        <v>60</v>
      </c>
      <c r="O26" s="17">
        <f t="shared" si="0"/>
        <v>19.989999999999995</v>
      </c>
      <c r="P26" s="19" t="str">
        <f>VLOOKUP(C26,Product_Details!$A$2:$E$11,2,FALSE)</f>
        <v>Desk Lamp</v>
      </c>
      <c r="Q26" t="str">
        <f>VLOOKUP(C26,Product_Details!$A$2:$E$11,3,FALSE)</f>
        <v>Office Furniture</v>
      </c>
      <c r="R26" t="str">
        <f>VLOOKUP(C26,Product_Details!$A$2:$E$11,4,FALSE)</f>
        <v>LightCo</v>
      </c>
      <c r="S26">
        <f>VLOOKUP(C26,Product_Details!$A$2:$E$11,5,FALSE)</f>
        <v>60</v>
      </c>
    </row>
    <row r="27" spans="1:19" x14ac:dyDescent="0.2">
      <c r="M27" s="11">
        <f>SUM(M2:M26)</f>
        <v>5848.4444999999987</v>
      </c>
    </row>
    <row r="28" spans="1:19" x14ac:dyDescent="0.2">
      <c r="M28" s="11">
        <f>AVERAGE(M2:M26)</f>
        <v>233.93777999999995</v>
      </c>
    </row>
    <row r="30" spans="1:19" x14ac:dyDescent="0.2">
      <c r="C30" t="str" cm="1">
        <f t="array" ref="C30:C39">_xlfn.UNIQUE(B2:B26)</f>
        <v>C001</v>
      </c>
      <c r="D30" s="12" t="s">
        <v>97</v>
      </c>
      <c r="E30" t="s">
        <v>99</v>
      </c>
      <c r="G30" s="12" t="s">
        <v>97</v>
      </c>
      <c r="H30" t="s">
        <v>100</v>
      </c>
    </row>
    <row r="31" spans="1:19" x14ac:dyDescent="0.2">
      <c r="C31" t="str">
        <v>C002</v>
      </c>
      <c r="D31" s="13" t="s">
        <v>23</v>
      </c>
      <c r="E31" s="14">
        <v>5</v>
      </c>
      <c r="G31" s="13" t="s">
        <v>16</v>
      </c>
      <c r="H31" s="14">
        <v>19</v>
      </c>
      <c r="I31">
        <f>COUNTIF(J2:J26,"=Delivered")</f>
        <v>19</v>
      </c>
    </row>
    <row r="32" spans="1:19" x14ac:dyDescent="0.2">
      <c r="C32" t="str">
        <v>C003</v>
      </c>
      <c r="D32" s="13" t="s">
        <v>28</v>
      </c>
      <c r="E32" s="14">
        <v>5</v>
      </c>
      <c r="G32" s="13" t="s">
        <v>22</v>
      </c>
      <c r="H32" s="14">
        <v>6</v>
      </c>
      <c r="I32">
        <f>COUNTIF(J2:J26,"=Pending")</f>
        <v>6</v>
      </c>
    </row>
    <row r="33" spans="1:10" x14ac:dyDescent="0.2">
      <c r="C33" t="str">
        <v>C004</v>
      </c>
      <c r="D33" s="13" t="s">
        <v>17</v>
      </c>
      <c r="E33" s="14">
        <v>11</v>
      </c>
      <c r="G33" s="13" t="s">
        <v>98</v>
      </c>
      <c r="H33" s="14">
        <v>25</v>
      </c>
    </row>
    <row r="34" spans="1:10" x14ac:dyDescent="0.2">
      <c r="C34" t="str">
        <v>C005</v>
      </c>
      <c r="D34" s="13" t="s">
        <v>36</v>
      </c>
      <c r="E34" s="14">
        <v>4</v>
      </c>
    </row>
    <row r="35" spans="1:10" x14ac:dyDescent="0.2">
      <c r="C35" t="str">
        <v>C006</v>
      </c>
      <c r="D35" s="13" t="s">
        <v>98</v>
      </c>
      <c r="E35" s="14">
        <v>25</v>
      </c>
    </row>
    <row r="36" spans="1:10" x14ac:dyDescent="0.2">
      <c r="C36" t="str">
        <v>C007</v>
      </c>
    </row>
    <row r="37" spans="1:10" x14ac:dyDescent="0.2">
      <c r="C37" t="str">
        <v>C008</v>
      </c>
    </row>
    <row r="38" spans="1:10" x14ac:dyDescent="0.2">
      <c r="C38" t="str">
        <v>C009</v>
      </c>
    </row>
    <row r="39" spans="1:10" x14ac:dyDescent="0.2">
      <c r="C39" t="str">
        <v>C010</v>
      </c>
    </row>
    <row r="40" spans="1:10" x14ac:dyDescent="0.2">
      <c r="C40">
        <f>COUNTA(_xlfn.ANCHORARRAY(C30))</f>
        <v>10</v>
      </c>
    </row>
    <row r="41" spans="1:10" x14ac:dyDescent="0.2">
      <c r="I41" s="12" t="s">
        <v>97</v>
      </c>
      <c r="J41" t="s">
        <v>103</v>
      </c>
    </row>
    <row r="42" spans="1:10" x14ac:dyDescent="0.2">
      <c r="A42" s="12" t="s">
        <v>97</v>
      </c>
      <c r="B42" t="s">
        <v>103</v>
      </c>
      <c r="I42" s="13" t="s">
        <v>53</v>
      </c>
      <c r="J42" s="14">
        <v>219.95150000000001</v>
      </c>
    </row>
    <row r="43" spans="1:10" x14ac:dyDescent="0.2">
      <c r="A43" s="13" t="s">
        <v>26</v>
      </c>
      <c r="B43" s="14">
        <v>-3457.1480000000001</v>
      </c>
      <c r="I43" s="13" t="s">
        <v>54</v>
      </c>
      <c r="J43" s="14">
        <v>164.94450000000018</v>
      </c>
    </row>
    <row r="44" spans="1:10" x14ac:dyDescent="0.2">
      <c r="A44" s="13" t="s">
        <v>14</v>
      </c>
      <c r="B44" s="14">
        <v>-3290.1635000000006</v>
      </c>
      <c r="I44" s="13" t="s">
        <v>60</v>
      </c>
      <c r="J44" s="14">
        <v>139.92999999999995</v>
      </c>
    </row>
    <row r="45" spans="1:10" x14ac:dyDescent="0.2">
      <c r="A45" s="13" t="s">
        <v>20</v>
      </c>
      <c r="B45" s="14">
        <v>230.88099999999997</v>
      </c>
      <c r="I45" s="13" t="s">
        <v>57</v>
      </c>
      <c r="J45" s="14">
        <v>112.46050000000002</v>
      </c>
    </row>
    <row r="46" spans="1:10" x14ac:dyDescent="0.2">
      <c r="A46" s="13" t="s">
        <v>31</v>
      </c>
      <c r="B46" s="14">
        <v>-1135.1249999999998</v>
      </c>
      <c r="I46" s="13" t="s">
        <v>62</v>
      </c>
      <c r="J46" s="14">
        <v>50.970999999999989</v>
      </c>
    </row>
    <row r="47" spans="1:10" x14ac:dyDescent="0.2">
      <c r="A47" s="13" t="s">
        <v>98</v>
      </c>
      <c r="B47" s="14">
        <v>-7651.5555000000004</v>
      </c>
      <c r="I47" s="13" t="s">
        <v>98</v>
      </c>
      <c r="J47" s="14">
        <v>688.25750000000016</v>
      </c>
    </row>
    <row r="51" spans="1:10" x14ac:dyDescent="0.2">
      <c r="I51" s="12" t="s">
        <v>97</v>
      </c>
      <c r="J51" t="s">
        <v>110</v>
      </c>
    </row>
    <row r="52" spans="1:10" x14ac:dyDescent="0.2">
      <c r="I52" s="13" t="s">
        <v>60</v>
      </c>
      <c r="J52" s="14">
        <v>0.28000000000000003</v>
      </c>
    </row>
    <row r="53" spans="1:10" x14ac:dyDescent="0.2">
      <c r="I53" s="13" t="s">
        <v>54</v>
      </c>
      <c r="J53" s="14">
        <v>0.15</v>
      </c>
    </row>
    <row r="54" spans="1:10" x14ac:dyDescent="0.2">
      <c r="I54" s="13" t="s">
        <v>50</v>
      </c>
      <c r="J54" s="14">
        <v>0.22</v>
      </c>
    </row>
    <row r="55" spans="1:10" x14ac:dyDescent="0.2">
      <c r="I55" s="13" t="s">
        <v>59</v>
      </c>
      <c r="J55" s="14">
        <v>0.25</v>
      </c>
    </row>
    <row r="56" spans="1:10" x14ac:dyDescent="0.2">
      <c r="I56" s="13" t="s">
        <v>57</v>
      </c>
      <c r="J56" s="14">
        <v>0.2</v>
      </c>
    </row>
    <row r="57" spans="1:10" x14ac:dyDescent="0.2">
      <c r="I57" s="13" t="s">
        <v>66</v>
      </c>
      <c r="J57" s="14">
        <v>0.32</v>
      </c>
    </row>
    <row r="58" spans="1:10" x14ac:dyDescent="0.2">
      <c r="A58" s="12" t="s">
        <v>97</v>
      </c>
      <c r="B58" t="s">
        <v>103</v>
      </c>
      <c r="I58" s="13" t="s">
        <v>63</v>
      </c>
      <c r="J58" s="14">
        <v>0.3</v>
      </c>
    </row>
    <row r="59" spans="1:10" x14ac:dyDescent="0.2">
      <c r="A59" s="13" t="s">
        <v>15</v>
      </c>
      <c r="B59" s="14">
        <v>-3290.1635000000006</v>
      </c>
      <c r="I59" s="13" t="s">
        <v>62</v>
      </c>
      <c r="J59" s="14">
        <v>0.26</v>
      </c>
    </row>
    <row r="60" spans="1:10" x14ac:dyDescent="0.2">
      <c r="A60" s="13" t="s">
        <v>21</v>
      </c>
      <c r="B60" s="14">
        <v>230.88099999999997</v>
      </c>
      <c r="I60" s="13" t="s">
        <v>53</v>
      </c>
      <c r="J60" s="14">
        <v>0.18000000000000002</v>
      </c>
    </row>
    <row r="61" spans="1:10" x14ac:dyDescent="0.2">
      <c r="A61" s="13" t="s">
        <v>27</v>
      </c>
      <c r="B61" s="14">
        <v>-3457.1480000000001</v>
      </c>
      <c r="I61" s="13" t="s">
        <v>98</v>
      </c>
      <c r="J61" s="14">
        <v>0.23679999999999993</v>
      </c>
    </row>
    <row r="62" spans="1:10" x14ac:dyDescent="0.2">
      <c r="A62" s="13" t="s">
        <v>32</v>
      </c>
      <c r="B62" s="14">
        <v>-1135.1249999999998</v>
      </c>
    </row>
    <row r="63" spans="1:10" x14ac:dyDescent="0.2">
      <c r="A63" s="13" t="s">
        <v>98</v>
      </c>
      <c r="B63" s="14">
        <v>-7651.5555000000004</v>
      </c>
      <c r="D63" s="12" t="s">
        <v>97</v>
      </c>
      <c r="E63" t="s">
        <v>100</v>
      </c>
    </row>
    <row r="64" spans="1:10" x14ac:dyDescent="0.2">
      <c r="D64" s="13" t="s">
        <v>26</v>
      </c>
      <c r="E64" s="14">
        <v>6</v>
      </c>
    </row>
    <row r="65" spans="1:6" x14ac:dyDescent="0.2">
      <c r="D65" s="13" t="s">
        <v>14</v>
      </c>
      <c r="E65" s="14">
        <v>7</v>
      </c>
    </row>
    <row r="66" spans="1:6" x14ac:dyDescent="0.2">
      <c r="D66" s="13" t="s">
        <v>20</v>
      </c>
      <c r="E66" s="14">
        <v>6</v>
      </c>
    </row>
    <row r="67" spans="1:6" x14ac:dyDescent="0.2">
      <c r="A67" s="12" t="s">
        <v>97</v>
      </c>
      <c r="B67" t="s">
        <v>103</v>
      </c>
      <c r="D67" s="13" t="s">
        <v>31</v>
      </c>
      <c r="E67" s="14">
        <v>6</v>
      </c>
    </row>
    <row r="68" spans="1:6" x14ac:dyDescent="0.2">
      <c r="A68" s="13" t="s">
        <v>51</v>
      </c>
      <c r="B68" s="14">
        <v>-8034.2880000000023</v>
      </c>
      <c r="D68" s="13" t="s">
        <v>98</v>
      </c>
      <c r="E68" s="14">
        <v>25</v>
      </c>
    </row>
    <row r="69" spans="1:6" x14ac:dyDescent="0.2">
      <c r="A69" s="13" t="s">
        <v>55</v>
      </c>
      <c r="B69" s="14">
        <v>304.87450000000013</v>
      </c>
    </row>
    <row r="70" spans="1:6" x14ac:dyDescent="0.2">
      <c r="A70" s="13" t="s">
        <v>64</v>
      </c>
      <c r="B70" s="14">
        <v>77.858000000000004</v>
      </c>
      <c r="D70" s="20" t="s">
        <v>7</v>
      </c>
      <c r="E70" s="21" t="s">
        <v>8</v>
      </c>
      <c r="F70" s="22" t="s">
        <v>9</v>
      </c>
    </row>
    <row r="71" spans="1:6" hidden="1" x14ac:dyDescent="0.2">
      <c r="A71" s="13" t="s">
        <v>98</v>
      </c>
      <c r="B71" s="14">
        <v>-7651.5555000000022</v>
      </c>
      <c r="D71" s="26" t="s">
        <v>20</v>
      </c>
      <c r="E71" s="26" t="s">
        <v>21</v>
      </c>
      <c r="F71" s="26" t="s">
        <v>16</v>
      </c>
    </row>
    <row r="72" spans="1:6" x14ac:dyDescent="0.2">
      <c r="D72" s="23" t="s">
        <v>20</v>
      </c>
      <c r="E72" s="24" t="s">
        <v>21</v>
      </c>
      <c r="F72" s="25" t="s">
        <v>22</v>
      </c>
    </row>
    <row r="81" spans="1:6" x14ac:dyDescent="0.2">
      <c r="A81" s="12" t="s">
        <v>97</v>
      </c>
      <c r="B81" t="s">
        <v>103</v>
      </c>
    </row>
    <row r="82" spans="1:6" x14ac:dyDescent="0.2">
      <c r="A82" s="13" t="s">
        <v>107</v>
      </c>
      <c r="B82" s="14">
        <v>-4593.7764999999999</v>
      </c>
    </row>
    <row r="83" spans="1:6" x14ac:dyDescent="0.2">
      <c r="A83" s="13" t="s">
        <v>108</v>
      </c>
      <c r="B83" s="14">
        <v>-3057.7790000000005</v>
      </c>
    </row>
    <row r="84" spans="1:6" x14ac:dyDescent="0.2">
      <c r="A84" s="13" t="s">
        <v>98</v>
      </c>
      <c r="B84" s="14">
        <v>-7651.5555000000004</v>
      </c>
    </row>
    <row r="96" spans="1:6" x14ac:dyDescent="0.2">
      <c r="E96" s="12" t="s">
        <v>97</v>
      </c>
      <c r="F96" t="s">
        <v>112</v>
      </c>
    </row>
    <row r="97" spans="1:9" x14ac:dyDescent="0.2">
      <c r="E97" s="13" t="s">
        <v>52</v>
      </c>
      <c r="F97" s="14">
        <v>0.35000000000000003</v>
      </c>
    </row>
    <row r="98" spans="1:9" x14ac:dyDescent="0.2">
      <c r="A98" s="12" t="s">
        <v>97</v>
      </c>
      <c r="B98" t="s">
        <v>113</v>
      </c>
      <c r="C98" t="s">
        <v>112</v>
      </c>
      <c r="E98" s="13" t="s">
        <v>65</v>
      </c>
      <c r="F98" s="14">
        <v>0.25</v>
      </c>
      <c r="H98" s="15" t="s">
        <v>114</v>
      </c>
      <c r="I98" s="15" t="s">
        <v>112</v>
      </c>
    </row>
    <row r="99" spans="1:9" x14ac:dyDescent="0.2">
      <c r="A99" s="13" t="s">
        <v>26</v>
      </c>
      <c r="B99" s="14">
        <v>5.8333333333333327E-2</v>
      </c>
      <c r="C99" s="14">
        <v>0.35</v>
      </c>
      <c r="E99" s="13" t="s">
        <v>58</v>
      </c>
      <c r="F99" s="14">
        <v>0.15000000000000002</v>
      </c>
      <c r="H99" s="13" t="s">
        <v>60</v>
      </c>
      <c r="I99" s="14">
        <v>0</v>
      </c>
    </row>
    <row r="100" spans="1:9" x14ac:dyDescent="0.2">
      <c r="A100" s="13" t="s">
        <v>14</v>
      </c>
      <c r="B100" s="14">
        <v>3.5714285714285712E-2</v>
      </c>
      <c r="C100" s="14">
        <v>0.25</v>
      </c>
      <c r="E100" s="13" t="s">
        <v>56</v>
      </c>
      <c r="F100" s="14">
        <v>0.15000000000000002</v>
      </c>
      <c r="H100" s="13" t="s">
        <v>54</v>
      </c>
      <c r="I100" s="14">
        <v>0.15000000000000002</v>
      </c>
    </row>
    <row r="101" spans="1:9" x14ac:dyDescent="0.2">
      <c r="A101" s="13" t="s">
        <v>20</v>
      </c>
      <c r="B101" s="14">
        <v>1.6666666666666666E-2</v>
      </c>
      <c r="C101" s="14">
        <v>0.1</v>
      </c>
      <c r="E101" s="13" t="s">
        <v>61</v>
      </c>
      <c r="F101" s="14">
        <v>0</v>
      </c>
      <c r="H101" s="13" t="s">
        <v>50</v>
      </c>
      <c r="I101" s="14">
        <v>0.15000000000000002</v>
      </c>
    </row>
    <row r="102" spans="1:9" x14ac:dyDescent="0.2">
      <c r="A102" s="13" t="s">
        <v>31</v>
      </c>
      <c r="B102" s="14">
        <v>3.3333333333333333E-2</v>
      </c>
      <c r="C102" s="14">
        <v>0.2</v>
      </c>
      <c r="E102" s="13" t="s">
        <v>98</v>
      </c>
      <c r="F102" s="14">
        <v>0.90000000000000013</v>
      </c>
      <c r="H102" s="13" t="s">
        <v>59</v>
      </c>
      <c r="I102" s="14">
        <v>0.15000000000000002</v>
      </c>
    </row>
    <row r="103" spans="1:9" x14ac:dyDescent="0.2">
      <c r="A103" s="13" t="s">
        <v>98</v>
      </c>
      <c r="B103" s="14">
        <v>3.5999999999999997E-2</v>
      </c>
      <c r="C103" s="14">
        <v>0.89999999999999991</v>
      </c>
      <c r="H103" s="13" t="s">
        <v>57</v>
      </c>
      <c r="I103" s="14">
        <v>0.05</v>
      </c>
    </row>
    <row r="104" spans="1:9" x14ac:dyDescent="0.2">
      <c r="H104" s="13" t="s">
        <v>66</v>
      </c>
      <c r="I104" s="14">
        <v>0.15</v>
      </c>
    </row>
    <row r="105" spans="1:9" x14ac:dyDescent="0.2">
      <c r="E105" s="12" t="s">
        <v>97</v>
      </c>
      <c r="F105" t="s">
        <v>112</v>
      </c>
      <c r="H105" s="13" t="s">
        <v>63</v>
      </c>
      <c r="I105" s="14">
        <v>0.1</v>
      </c>
    </row>
    <row r="106" spans="1:9" x14ac:dyDescent="0.2">
      <c r="E106" s="13" t="s">
        <v>51</v>
      </c>
      <c r="F106" s="14">
        <v>0.50000000000000011</v>
      </c>
      <c r="H106" s="13" t="s">
        <v>62</v>
      </c>
      <c r="I106" s="14">
        <v>0.1</v>
      </c>
    </row>
    <row r="107" spans="1:9" x14ac:dyDescent="0.2">
      <c r="E107" s="13" t="s">
        <v>64</v>
      </c>
      <c r="F107" s="14">
        <v>0.25</v>
      </c>
      <c r="H107" s="13" t="s">
        <v>53</v>
      </c>
      <c r="I107" s="14">
        <v>0.05</v>
      </c>
    </row>
    <row r="108" spans="1:9" x14ac:dyDescent="0.2">
      <c r="E108" s="13" t="s">
        <v>55</v>
      </c>
      <c r="F108" s="14">
        <v>0.15000000000000002</v>
      </c>
    </row>
    <row r="109" spans="1:9" x14ac:dyDescent="0.2">
      <c r="E109" s="13" t="s">
        <v>98</v>
      </c>
      <c r="F109" s="14">
        <v>0.90000000000000013</v>
      </c>
    </row>
  </sheetData>
  <autoFilter ref="D70:F72" xr:uid="{9163EE70-8CFA-DC45-92F6-E31C5D87C7B6}">
    <filterColumn colId="2">
      <filters>
        <filter val="Pending"/>
      </filters>
    </filterColumn>
  </autoFilter>
  <pageMargins left="0.7" right="0.7" top="0.75" bottom="0.75" header="0.3" footer="0.3"/>
  <drawing r:id="rId1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D36F2-3294-8640-A9E3-5622A34FE25B}">
  <dimension ref="A1:F11"/>
  <sheetViews>
    <sheetView workbookViewId="0">
      <selection activeCell="E40" sqref="E40"/>
    </sheetView>
  </sheetViews>
  <sheetFormatPr baseColWidth="10" defaultRowHeight="16" x14ac:dyDescent="0.2"/>
  <sheetData>
    <row r="1" spans="1:6" x14ac:dyDescent="0.2">
      <c r="A1" t="s">
        <v>2</v>
      </c>
      <c r="B1" t="s">
        <v>45</v>
      </c>
      <c r="C1" t="s">
        <v>46</v>
      </c>
      <c r="D1" t="s">
        <v>47</v>
      </c>
      <c r="E1" t="s">
        <v>48</v>
      </c>
      <c r="F1" t="s">
        <v>49</v>
      </c>
    </row>
    <row r="2" spans="1:6" x14ac:dyDescent="0.2">
      <c r="A2" t="s">
        <v>30</v>
      </c>
      <c r="B2" t="s">
        <v>50</v>
      </c>
      <c r="C2" t="s">
        <v>51</v>
      </c>
      <c r="D2" t="s">
        <v>52</v>
      </c>
      <c r="E2">
        <v>800</v>
      </c>
      <c r="F2">
        <v>999.99</v>
      </c>
    </row>
    <row r="3" spans="1:6" x14ac:dyDescent="0.2">
      <c r="A3" t="s">
        <v>19</v>
      </c>
      <c r="B3" t="s">
        <v>53</v>
      </c>
      <c r="C3" t="s">
        <v>51</v>
      </c>
      <c r="D3" t="s">
        <v>52</v>
      </c>
      <c r="E3">
        <v>150</v>
      </c>
      <c r="F3">
        <v>199.99</v>
      </c>
    </row>
    <row r="4" spans="1:6" x14ac:dyDescent="0.2">
      <c r="A4" t="s">
        <v>33</v>
      </c>
      <c r="B4" t="s">
        <v>54</v>
      </c>
      <c r="C4" t="s">
        <v>55</v>
      </c>
      <c r="D4" t="s">
        <v>56</v>
      </c>
      <c r="E4">
        <v>250</v>
      </c>
      <c r="F4">
        <v>299.99</v>
      </c>
    </row>
    <row r="5" spans="1:6" x14ac:dyDescent="0.2">
      <c r="A5" t="s">
        <v>40</v>
      </c>
      <c r="B5" t="s">
        <v>57</v>
      </c>
      <c r="C5" t="s">
        <v>51</v>
      </c>
      <c r="D5" t="s">
        <v>58</v>
      </c>
      <c r="E5">
        <v>120</v>
      </c>
      <c r="F5">
        <v>149.99</v>
      </c>
    </row>
    <row r="6" spans="1:6" x14ac:dyDescent="0.2">
      <c r="A6" t="s">
        <v>13</v>
      </c>
      <c r="B6" t="s">
        <v>59</v>
      </c>
      <c r="C6" t="s">
        <v>51</v>
      </c>
      <c r="D6" t="s">
        <v>52</v>
      </c>
      <c r="E6">
        <v>40</v>
      </c>
      <c r="F6">
        <v>49.99</v>
      </c>
    </row>
    <row r="7" spans="1:6" x14ac:dyDescent="0.2">
      <c r="A7" t="s">
        <v>35</v>
      </c>
      <c r="B7" t="s">
        <v>60</v>
      </c>
      <c r="C7" t="s">
        <v>55</v>
      </c>
      <c r="D7" t="s">
        <v>61</v>
      </c>
      <c r="E7">
        <v>60</v>
      </c>
      <c r="F7">
        <v>79.989999999999995</v>
      </c>
    </row>
    <row r="8" spans="1:6" x14ac:dyDescent="0.2">
      <c r="A8" t="s">
        <v>41</v>
      </c>
      <c r="B8" t="s">
        <v>62</v>
      </c>
      <c r="C8" t="s">
        <v>51</v>
      </c>
      <c r="D8" t="s">
        <v>58</v>
      </c>
      <c r="E8">
        <v>70</v>
      </c>
      <c r="F8">
        <v>89.99</v>
      </c>
    </row>
    <row r="9" spans="1:6" x14ac:dyDescent="0.2">
      <c r="A9" t="s">
        <v>25</v>
      </c>
      <c r="B9" t="s">
        <v>63</v>
      </c>
      <c r="C9" t="s">
        <v>64</v>
      </c>
      <c r="D9" t="s">
        <v>65</v>
      </c>
      <c r="E9">
        <v>15</v>
      </c>
      <c r="F9">
        <v>19.989999999999998</v>
      </c>
    </row>
    <row r="10" spans="1:6" x14ac:dyDescent="0.2">
      <c r="A10" t="s">
        <v>38</v>
      </c>
      <c r="B10" t="s">
        <v>66</v>
      </c>
      <c r="C10" t="s">
        <v>64</v>
      </c>
      <c r="D10" t="s">
        <v>65</v>
      </c>
      <c r="E10">
        <v>30</v>
      </c>
      <c r="F10">
        <v>39.99</v>
      </c>
    </row>
    <row r="11" spans="1:6" x14ac:dyDescent="0.2">
      <c r="A11" t="s">
        <v>67</v>
      </c>
      <c r="B11" t="s">
        <v>68</v>
      </c>
      <c r="C11" t="s">
        <v>51</v>
      </c>
      <c r="D11" t="s">
        <v>52</v>
      </c>
      <c r="E11">
        <v>100</v>
      </c>
      <c r="F11">
        <v>129.99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EB38CA-6508-0040-B2B2-139A700AD08E}">
  <dimension ref="A1:T46"/>
  <sheetViews>
    <sheetView workbookViewId="0">
      <selection activeCell="F49" sqref="F49"/>
    </sheetView>
  </sheetViews>
  <sheetFormatPr baseColWidth="10" defaultRowHeight="16" x14ac:dyDescent="0.2"/>
  <sheetData>
    <row r="1" spans="1:20" ht="16" customHeight="1" x14ac:dyDescent="0.2">
      <c r="A1" s="2" t="s">
        <v>92</v>
      </c>
      <c r="B1" s="3"/>
      <c r="C1" s="3"/>
      <c r="D1" s="3"/>
      <c r="E1" s="3"/>
      <c r="F1" s="3"/>
      <c r="G1" s="3"/>
      <c r="H1" s="3"/>
      <c r="I1" s="3"/>
      <c r="J1" s="3"/>
      <c r="K1" s="3"/>
      <c r="L1" s="3"/>
      <c r="M1" s="3"/>
      <c r="N1" s="3"/>
      <c r="O1" s="3"/>
      <c r="P1" s="3"/>
      <c r="Q1" s="3"/>
      <c r="R1" s="3"/>
      <c r="S1" s="3"/>
      <c r="T1" s="4"/>
    </row>
    <row r="2" spans="1:20" ht="16" customHeight="1" x14ac:dyDescent="0.2">
      <c r="A2" s="5"/>
      <c r="B2" s="6"/>
      <c r="C2" s="6"/>
      <c r="D2" s="6"/>
      <c r="E2" s="6"/>
      <c r="F2" s="6"/>
      <c r="G2" s="6"/>
      <c r="H2" s="6"/>
      <c r="I2" s="6"/>
      <c r="J2" s="6"/>
      <c r="K2" s="6"/>
      <c r="L2" s="6"/>
      <c r="M2" s="6"/>
      <c r="N2" s="6"/>
      <c r="O2" s="6"/>
      <c r="P2" s="6"/>
      <c r="Q2" s="6"/>
      <c r="R2" s="6"/>
      <c r="S2" s="6"/>
      <c r="T2" s="7"/>
    </row>
    <row r="3" spans="1:20" ht="17" customHeight="1" x14ac:dyDescent="0.2">
      <c r="A3" s="5"/>
      <c r="B3" s="6"/>
      <c r="C3" s="6"/>
      <c r="D3" s="6"/>
      <c r="E3" s="6"/>
      <c r="F3" s="6"/>
      <c r="G3" s="6"/>
      <c r="H3" s="6"/>
      <c r="I3" s="6"/>
      <c r="J3" s="6"/>
      <c r="K3" s="6"/>
      <c r="L3" s="6"/>
      <c r="M3" s="6"/>
      <c r="N3" s="6"/>
      <c r="O3" s="6"/>
      <c r="P3" s="6"/>
      <c r="Q3" s="6"/>
      <c r="R3" s="6"/>
      <c r="S3" s="6"/>
      <c r="T3" s="7"/>
    </row>
    <row r="4" spans="1:20" ht="16" customHeight="1" x14ac:dyDescent="0.2">
      <c r="A4" s="5"/>
      <c r="B4" s="6"/>
      <c r="C4" s="6"/>
      <c r="D4" s="6"/>
      <c r="E4" s="6"/>
      <c r="F4" s="6"/>
      <c r="G4" s="6"/>
      <c r="H4" s="6"/>
      <c r="I4" s="6"/>
      <c r="J4" s="6"/>
      <c r="K4" s="6"/>
      <c r="L4" s="6"/>
      <c r="M4" s="6"/>
      <c r="N4" s="6"/>
      <c r="O4" s="6"/>
      <c r="P4" s="6"/>
      <c r="Q4" s="6"/>
      <c r="R4" s="6"/>
      <c r="S4" s="6"/>
      <c r="T4" s="7"/>
    </row>
    <row r="5" spans="1:20" ht="16" customHeight="1" x14ac:dyDescent="0.2">
      <c r="A5" s="5"/>
      <c r="B5" s="6"/>
      <c r="C5" s="6"/>
      <c r="D5" s="6"/>
      <c r="E5" s="6"/>
      <c r="F5" s="6"/>
      <c r="G5" s="6"/>
      <c r="H5" s="6"/>
      <c r="I5" s="6"/>
      <c r="J5" s="6"/>
      <c r="K5" s="6"/>
      <c r="L5" s="6"/>
      <c r="M5" s="6"/>
      <c r="N5" s="6"/>
      <c r="O5" s="6"/>
      <c r="P5" s="6"/>
      <c r="Q5" s="6"/>
      <c r="R5" s="6"/>
      <c r="S5" s="6"/>
      <c r="T5" s="7"/>
    </row>
    <row r="6" spans="1:20" ht="16" customHeight="1" x14ac:dyDescent="0.2">
      <c r="A6" s="5"/>
      <c r="B6" s="6"/>
      <c r="C6" s="6"/>
      <c r="D6" s="6"/>
      <c r="E6" s="6"/>
      <c r="F6" s="6"/>
      <c r="G6" s="6"/>
      <c r="H6" s="6"/>
      <c r="I6" s="6"/>
      <c r="J6" s="6"/>
      <c r="K6" s="6"/>
      <c r="L6" s="6"/>
      <c r="M6" s="6"/>
      <c r="N6" s="6"/>
      <c r="O6" s="6"/>
      <c r="P6" s="6"/>
      <c r="Q6" s="6"/>
      <c r="R6" s="6"/>
      <c r="S6" s="6"/>
      <c r="T6" s="7"/>
    </row>
    <row r="7" spans="1:20" ht="16" customHeight="1" x14ac:dyDescent="0.2">
      <c r="A7" s="5"/>
      <c r="B7" s="6"/>
      <c r="C7" s="6"/>
      <c r="D7" s="6"/>
      <c r="E7" s="6"/>
      <c r="F7" s="6"/>
      <c r="G7" s="6"/>
      <c r="H7" s="6"/>
      <c r="I7" s="6"/>
      <c r="J7" s="6"/>
      <c r="K7" s="6"/>
      <c r="L7" s="6"/>
      <c r="M7" s="6"/>
      <c r="N7" s="6"/>
      <c r="O7" s="6"/>
      <c r="P7" s="6"/>
      <c r="Q7" s="6"/>
      <c r="R7" s="6"/>
      <c r="S7" s="6"/>
      <c r="T7" s="7"/>
    </row>
    <row r="8" spans="1:20" ht="16" customHeight="1" x14ac:dyDescent="0.2">
      <c r="A8" s="5"/>
      <c r="B8" s="6"/>
      <c r="C8" s="6"/>
      <c r="D8" s="6"/>
      <c r="E8" s="6"/>
      <c r="F8" s="6"/>
      <c r="G8" s="6"/>
      <c r="H8" s="6"/>
      <c r="I8" s="6"/>
      <c r="J8" s="6"/>
      <c r="K8" s="6"/>
      <c r="L8" s="6"/>
      <c r="M8" s="6"/>
      <c r="N8" s="6"/>
      <c r="O8" s="6"/>
      <c r="P8" s="6"/>
      <c r="Q8" s="6"/>
      <c r="R8" s="6"/>
      <c r="S8" s="6"/>
      <c r="T8" s="7"/>
    </row>
    <row r="9" spans="1:20" ht="16" customHeight="1" x14ac:dyDescent="0.2">
      <c r="A9" s="5"/>
      <c r="B9" s="6"/>
      <c r="C9" s="6"/>
      <c r="D9" s="6"/>
      <c r="E9" s="6"/>
      <c r="F9" s="6"/>
      <c r="G9" s="6"/>
      <c r="H9" s="6"/>
      <c r="I9" s="6"/>
      <c r="J9" s="6"/>
      <c r="K9" s="6"/>
      <c r="L9" s="6"/>
      <c r="M9" s="6"/>
      <c r="N9" s="6"/>
      <c r="O9" s="6"/>
      <c r="P9" s="6"/>
      <c r="Q9" s="6"/>
      <c r="R9" s="6"/>
      <c r="S9" s="6"/>
      <c r="T9" s="7"/>
    </row>
    <row r="10" spans="1:20" ht="16" customHeight="1" x14ac:dyDescent="0.2">
      <c r="A10" s="5"/>
      <c r="B10" s="6"/>
      <c r="C10" s="6"/>
      <c r="D10" s="6"/>
      <c r="E10" s="6"/>
      <c r="F10" s="6"/>
      <c r="G10" s="6"/>
      <c r="H10" s="6"/>
      <c r="I10" s="6"/>
      <c r="J10" s="6"/>
      <c r="K10" s="6"/>
      <c r="L10" s="6"/>
      <c r="M10" s="6"/>
      <c r="N10" s="6"/>
      <c r="O10" s="6"/>
      <c r="P10" s="6"/>
      <c r="Q10" s="6"/>
      <c r="R10" s="6"/>
      <c r="S10" s="6"/>
      <c r="T10" s="7"/>
    </row>
    <row r="11" spans="1:20" ht="16" customHeight="1" x14ac:dyDescent="0.2">
      <c r="A11" s="5"/>
      <c r="B11" s="6"/>
      <c r="C11" s="6"/>
      <c r="D11" s="6"/>
      <c r="E11" s="6"/>
      <c r="F11" s="6"/>
      <c r="G11" s="6"/>
      <c r="H11" s="6"/>
      <c r="I11" s="6"/>
      <c r="J11" s="6"/>
      <c r="K11" s="6"/>
      <c r="L11" s="6"/>
      <c r="M11" s="6"/>
      <c r="N11" s="6"/>
      <c r="O11" s="6"/>
      <c r="P11" s="6"/>
      <c r="Q11" s="6"/>
      <c r="R11" s="6"/>
      <c r="S11" s="6"/>
      <c r="T11" s="7"/>
    </row>
    <row r="12" spans="1:20" ht="16" customHeight="1" x14ac:dyDescent="0.2">
      <c r="A12" s="5"/>
      <c r="B12" s="6"/>
      <c r="C12" s="6"/>
      <c r="D12" s="6"/>
      <c r="E12" s="6"/>
      <c r="F12" s="6"/>
      <c r="G12" s="6"/>
      <c r="H12" s="6"/>
      <c r="I12" s="6"/>
      <c r="J12" s="6"/>
      <c r="K12" s="6"/>
      <c r="L12" s="6"/>
      <c r="M12" s="6"/>
      <c r="N12" s="6"/>
      <c r="O12" s="6"/>
      <c r="P12" s="6"/>
      <c r="Q12" s="6"/>
      <c r="R12" s="6"/>
      <c r="S12" s="6"/>
      <c r="T12" s="7"/>
    </row>
    <row r="13" spans="1:20" ht="16" customHeight="1" x14ac:dyDescent="0.2">
      <c r="A13" s="5"/>
      <c r="B13" s="6"/>
      <c r="C13" s="6"/>
      <c r="D13" s="6"/>
      <c r="E13" s="6"/>
      <c r="F13" s="6"/>
      <c r="G13" s="6"/>
      <c r="H13" s="6"/>
      <c r="I13" s="6"/>
      <c r="J13" s="6"/>
      <c r="K13" s="6"/>
      <c r="L13" s="6"/>
      <c r="M13" s="6"/>
      <c r="N13" s="6"/>
      <c r="O13" s="6"/>
      <c r="P13" s="6"/>
      <c r="Q13" s="6"/>
      <c r="R13" s="6"/>
      <c r="S13" s="6"/>
      <c r="T13" s="7"/>
    </row>
    <row r="14" spans="1:20" ht="17" customHeight="1" thickBot="1" x14ac:dyDescent="0.25">
      <c r="A14" s="8"/>
      <c r="B14" s="9"/>
      <c r="C14" s="9"/>
      <c r="D14" s="9"/>
      <c r="E14" s="9"/>
      <c r="F14" s="9"/>
      <c r="G14" s="9"/>
      <c r="H14" s="9"/>
      <c r="I14" s="9"/>
      <c r="J14" s="9"/>
      <c r="K14" s="9"/>
      <c r="L14" s="9"/>
      <c r="M14" s="9"/>
      <c r="N14" s="9"/>
      <c r="O14" s="9"/>
      <c r="P14" s="9"/>
      <c r="Q14" s="9"/>
      <c r="R14" s="9"/>
      <c r="S14" s="9"/>
      <c r="T14" s="10"/>
    </row>
    <row r="16" spans="1:20" x14ac:dyDescent="0.2">
      <c r="A16" s="1" t="s">
        <v>69</v>
      </c>
    </row>
    <row r="18" spans="1:9" ht="17" x14ac:dyDescent="0.25">
      <c r="A18" s="1" t="s">
        <v>70</v>
      </c>
    </row>
    <row r="19" spans="1:9" ht="17" x14ac:dyDescent="0.25">
      <c r="A19" s="1" t="s">
        <v>71</v>
      </c>
    </row>
    <row r="20" spans="1:9" x14ac:dyDescent="0.2">
      <c r="A20" s="1" t="s">
        <v>72</v>
      </c>
    </row>
    <row r="21" spans="1:9" x14ac:dyDescent="0.2">
      <c r="A21" s="1" t="s">
        <v>73</v>
      </c>
      <c r="I21">
        <v>10</v>
      </c>
    </row>
    <row r="22" spans="1:9" x14ac:dyDescent="0.2">
      <c r="A22" s="1" t="s">
        <v>74</v>
      </c>
      <c r="I22" t="s">
        <v>102</v>
      </c>
    </row>
    <row r="23" spans="1:9" ht="17" x14ac:dyDescent="0.25">
      <c r="A23" s="1" t="s">
        <v>75</v>
      </c>
      <c r="I23" t="s">
        <v>101</v>
      </c>
    </row>
    <row r="25" spans="1:9" x14ac:dyDescent="0.2">
      <c r="A25" s="1" t="s">
        <v>76</v>
      </c>
    </row>
    <row r="27" spans="1:9" ht="17" x14ac:dyDescent="0.25">
      <c r="A27" s="1" t="s">
        <v>77</v>
      </c>
    </row>
    <row r="28" spans="1:9" ht="17" x14ac:dyDescent="0.25">
      <c r="A28" s="1" t="s">
        <v>78</v>
      </c>
    </row>
    <row r="29" spans="1:9" ht="17" x14ac:dyDescent="0.25">
      <c r="A29" s="1" t="s">
        <v>79</v>
      </c>
    </row>
    <row r="30" spans="1:9" ht="17" x14ac:dyDescent="0.25">
      <c r="A30" s="1" t="s">
        <v>80</v>
      </c>
    </row>
    <row r="32" spans="1:9" x14ac:dyDescent="0.2">
      <c r="A32" s="1" t="s">
        <v>81</v>
      </c>
    </row>
    <row r="34" spans="1:16" ht="17" x14ac:dyDescent="0.25">
      <c r="A34" s="1" t="s">
        <v>82</v>
      </c>
      <c r="J34" t="s">
        <v>104</v>
      </c>
    </row>
    <row r="35" spans="1:16" ht="17" x14ac:dyDescent="0.25">
      <c r="A35" s="1" t="s">
        <v>83</v>
      </c>
      <c r="K35" t="s">
        <v>105</v>
      </c>
    </row>
    <row r="36" spans="1:16" ht="17" x14ac:dyDescent="0.25">
      <c r="A36" s="1" t="s">
        <v>84</v>
      </c>
      <c r="K36" t="s">
        <v>106</v>
      </c>
    </row>
    <row r="37" spans="1:16" ht="17" x14ac:dyDescent="0.25">
      <c r="A37" s="1" t="s">
        <v>85</v>
      </c>
      <c r="P37" t="s">
        <v>109</v>
      </c>
    </row>
    <row r="38" spans="1:16" ht="17" x14ac:dyDescent="0.25">
      <c r="A38" s="1" t="s">
        <v>86</v>
      </c>
      <c r="I38" t="s">
        <v>104</v>
      </c>
    </row>
    <row r="39" spans="1:16" ht="17" x14ac:dyDescent="0.25">
      <c r="A39" s="1" t="s">
        <v>87</v>
      </c>
      <c r="I39" t="s">
        <v>104</v>
      </c>
    </row>
    <row r="40" spans="1:16" ht="17" x14ac:dyDescent="0.25">
      <c r="A40" s="1" t="s">
        <v>88</v>
      </c>
      <c r="I40" t="s">
        <v>111</v>
      </c>
    </row>
    <row r="42" spans="1:16" x14ac:dyDescent="0.2">
      <c r="A42" s="1" t="s">
        <v>93</v>
      </c>
    </row>
    <row r="44" spans="1:16" ht="17" x14ac:dyDescent="0.25">
      <c r="A44" s="1" t="s">
        <v>89</v>
      </c>
    </row>
    <row r="45" spans="1:16" ht="17" x14ac:dyDescent="0.25">
      <c r="A45" s="1" t="s">
        <v>90</v>
      </c>
    </row>
    <row r="46" spans="1:16" ht="17" x14ac:dyDescent="0.25">
      <c r="A46" s="1" t="s">
        <v>91</v>
      </c>
    </row>
  </sheetData>
  <mergeCells count="1">
    <mergeCell ref="A1:T1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Sales_Transactions</vt:lpstr>
      <vt:lpstr>Product_Details</vt:lpstr>
      <vt:lpstr>Case Study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megna roy</dc:creator>
  <cp:lastModifiedBy>Saumya Srivastava</cp:lastModifiedBy>
  <dcterms:created xsi:type="dcterms:W3CDTF">2025-06-08T15:33:17Z</dcterms:created>
  <dcterms:modified xsi:type="dcterms:W3CDTF">2025-06-09T09:28:00Z</dcterms:modified>
</cp:coreProperties>
</file>