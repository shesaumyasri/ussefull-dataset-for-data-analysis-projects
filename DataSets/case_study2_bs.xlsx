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megnaroy/Downloads/"/>
    </mc:Choice>
  </mc:AlternateContent>
  <xr:revisionPtr revIDLastSave="0" documentId="13_ncr:1_{029CC075-5E05-F642-BA0A-3F7A04889D5F}" xr6:coauthVersionLast="47" xr6:coauthVersionMax="47" xr10:uidLastSave="{00000000-0000-0000-0000-000000000000}"/>
  <bookViews>
    <workbookView xWindow="1080" yWindow="1240" windowWidth="27640" windowHeight="15980" activeTab="2" xr2:uid="{381ACCA9-47BC-8D46-9ABB-7A715169EEC6}"/>
  </bookViews>
  <sheets>
    <sheet name="sales" sheetId="1" r:id="rId1"/>
    <sheet name="customer" sheetId="2" r:id="rId2"/>
    <sheet name="case study" sheetId="3" r:id="rId3"/>
  </sheets>
  <definedNames>
    <definedName name="_xlnm._FilterDatabase" localSheetId="2" hidden="1">'case study'!$J$40:$K$59</definedName>
  </definedNames>
  <calcPr calcId="181029"/>
  <pivotCaches>
    <pivotCache cacheId="32" r:id="rId4"/>
    <pivotCache cacheId="38"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R3" i="1"/>
  <c r="R4" i="1"/>
  <c r="R5" i="1"/>
  <c r="R6" i="1"/>
  <c r="R7" i="1"/>
  <c r="R8" i="1"/>
  <c r="R9" i="1"/>
  <c r="R10" i="1"/>
  <c r="R11" i="1"/>
  <c r="R12" i="1"/>
  <c r="R13" i="1"/>
  <c r="R14" i="1"/>
  <c r="R15" i="1"/>
  <c r="R16" i="1"/>
  <c r="R17" i="1"/>
  <c r="R18" i="1"/>
  <c r="R19" i="1"/>
  <c r="R20" i="1"/>
  <c r="R21" i="1"/>
  <c r="R22" i="1"/>
  <c r="R23" i="1"/>
  <c r="R24" i="1"/>
  <c r="R25" i="1"/>
  <c r="R26" i="1"/>
  <c r="R27" i="1"/>
  <c r="R28" i="1"/>
  <c r="R29" i="1"/>
  <c r="R2" i="1"/>
  <c r="A29" i="3"/>
  <c r="O27" i="3"/>
  <c r="Q3" i="1"/>
  <c r="Q4" i="1"/>
  <c r="Q5" i="1"/>
  <c r="Q6" i="1"/>
  <c r="Q7" i="1"/>
  <c r="Q8" i="1"/>
  <c r="Q9" i="1"/>
  <c r="Q10" i="1"/>
  <c r="Q11" i="1"/>
  <c r="Q12" i="1"/>
  <c r="Q13" i="1"/>
  <c r="Q14" i="1"/>
  <c r="Q15" i="1"/>
  <c r="Q16" i="1"/>
  <c r="Q17" i="1"/>
  <c r="Q18" i="1"/>
  <c r="Q19" i="1"/>
  <c r="Q20" i="1"/>
  <c r="Q21" i="1"/>
  <c r="Q22" i="1"/>
  <c r="Q23" i="1"/>
  <c r="Q24" i="1"/>
  <c r="Q25" i="1"/>
  <c r="Q26" i="1"/>
  <c r="Q27" i="1"/>
  <c r="Q28" i="1"/>
  <c r="Q29" i="1"/>
  <c r="Q2" i="1"/>
  <c r="P3" i="1"/>
  <c r="P4" i="1"/>
  <c r="P5" i="1"/>
  <c r="P6" i="1"/>
  <c r="P7" i="1"/>
  <c r="P8" i="1"/>
  <c r="P9" i="1"/>
  <c r="P10" i="1"/>
  <c r="P11" i="1"/>
  <c r="P12" i="1"/>
  <c r="P13" i="1"/>
  <c r="P14" i="1"/>
  <c r="P15" i="1"/>
  <c r="P16" i="1"/>
  <c r="P17" i="1"/>
  <c r="P18" i="1"/>
  <c r="P19" i="1"/>
  <c r="P20" i="1"/>
  <c r="P21" i="1"/>
  <c r="P22" i="1"/>
  <c r="P23" i="1"/>
  <c r="P24" i="1"/>
  <c r="P25" i="1"/>
  <c r="P26" i="1"/>
  <c r="P27" i="1"/>
  <c r="P28" i="1"/>
  <c r="P29" i="1"/>
  <c r="H22" i="3"/>
  <c r="H20" i="3"/>
  <c r="H19" i="3"/>
  <c r="O3" i="1"/>
  <c r="O4" i="1"/>
  <c r="O5" i="1"/>
  <c r="O6" i="1"/>
  <c r="O7" i="1"/>
  <c r="O8" i="1"/>
  <c r="O9" i="1"/>
  <c r="O10" i="1"/>
  <c r="O11" i="1"/>
  <c r="O12" i="1"/>
  <c r="O13" i="1"/>
  <c r="O14" i="1"/>
  <c r="O15" i="1"/>
  <c r="O16" i="1"/>
  <c r="O17" i="1"/>
  <c r="O18" i="1"/>
  <c r="O19" i="1"/>
  <c r="O20" i="1"/>
  <c r="O21" i="1"/>
  <c r="O22" i="1"/>
  <c r="O23" i="1"/>
  <c r="O24" i="1"/>
  <c r="O25" i="1"/>
  <c r="O26" i="1"/>
  <c r="O27" i="1"/>
  <c r="O28" i="1"/>
  <c r="O29"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2" i="1"/>
  <c r="D29" i="1"/>
  <c r="D18" i="1"/>
  <c r="D19" i="1"/>
  <c r="D20" i="1"/>
  <c r="D21" i="1"/>
  <c r="D22" i="1"/>
  <c r="D23" i="1"/>
  <c r="D24" i="1"/>
  <c r="D25" i="1"/>
  <c r="D26" i="1"/>
  <c r="D27" i="1"/>
  <c r="D28" i="1"/>
  <c r="D17" i="1"/>
  <c r="C16" i="2"/>
  <c r="C13" i="2"/>
  <c r="C14" i="2"/>
  <c r="C15" i="2"/>
  <c r="C12" i="2"/>
  <c r="H23" i="3" l="1"/>
  <c r="H21" i="3"/>
</calcChain>
</file>

<file path=xl/sharedStrings.xml><?xml version="1.0" encoding="utf-8"?>
<sst xmlns="http://schemas.openxmlformats.org/spreadsheetml/2006/main" count="465" uniqueCount="189">
  <si>
    <t>OrderID</t>
  </si>
  <si>
    <t>OrderDate</t>
  </si>
  <si>
    <t>CustomerID</t>
  </si>
  <si>
    <t>CustomerName</t>
  </si>
  <si>
    <t>Region</t>
  </si>
  <si>
    <t>ProductCategory</t>
  </si>
  <si>
    <t>ProductName</t>
  </si>
  <si>
    <t>UnitsSold</t>
  </si>
  <si>
    <t>UnitPrice</t>
  </si>
  <si>
    <t>Discount</t>
  </si>
  <si>
    <t>Salesperson</t>
  </si>
  <si>
    <t>PaymentMethod</t>
  </si>
  <si>
    <t>GM-0001</t>
  </si>
  <si>
    <t>CUST-001</t>
  </si>
  <si>
    <t>Sarah Chen</t>
  </si>
  <si>
    <t>North</t>
  </si>
  <si>
    <t>Electronics</t>
  </si>
  <si>
    <t>Laptop Pro</t>
  </si>
  <si>
    <t>Alice</t>
  </si>
  <si>
    <t>Credit Card</t>
  </si>
  <si>
    <t>GM-0002</t>
  </si>
  <si>
    <t>CUST-003</t>
  </si>
  <si>
    <t>David Lee</t>
  </si>
  <si>
    <t>South</t>
  </si>
  <si>
    <t>Apparel</t>
  </si>
  <si>
    <t>T-Shirt (Large)</t>
  </si>
  <si>
    <t>Bob</t>
  </si>
  <si>
    <t>Cash</t>
  </si>
  <si>
    <t>GM-0003</t>
  </si>
  <si>
    <t>CUST-002</t>
  </si>
  <si>
    <t>Emily White</t>
  </si>
  <si>
    <t>East</t>
  </si>
  <si>
    <t>Home Goods</t>
  </si>
  <si>
    <t>Coffee Maker</t>
  </si>
  <si>
    <t>Charlie</t>
  </si>
  <si>
    <t>UPI</t>
  </si>
  <si>
    <t>GM-0004</t>
  </si>
  <si>
    <t>Books</t>
  </si>
  <si>
    <t>Sci-Fi Novel</t>
  </si>
  <si>
    <t>Bank Transfer</t>
  </si>
  <si>
    <t>GM-0005</t>
  </si>
  <si>
    <t>CUST-004</t>
  </si>
  <si>
    <t>Michael Brown</t>
  </si>
  <si>
    <t>West</t>
  </si>
  <si>
    <t>Food</t>
  </si>
  <si>
    <t>Organic Snacks</t>
  </si>
  <si>
    <t>David</t>
  </si>
  <si>
    <t>GM-0006</t>
  </si>
  <si>
    <t>CUST-005</t>
  </si>
  <si>
    <t>Jessica Green</t>
  </si>
  <si>
    <t>Central</t>
  </si>
  <si>
    <t>Wireless Earbuds</t>
  </si>
  <si>
    <t>Eve</t>
  </si>
  <si>
    <t>GM-0007</t>
  </si>
  <si>
    <t>Jeans (Size 32)</t>
  </si>
  <si>
    <t>GM-0008</t>
  </si>
  <si>
    <t>Blender</t>
  </si>
  <si>
    <t>GM-0009</t>
  </si>
  <si>
    <t>History Textbook</t>
  </si>
  <si>
    <t>GM-0010</t>
  </si>
  <si>
    <t>Smartwatch</t>
  </si>
  <si>
    <t>GM-0011</t>
  </si>
  <si>
    <t>CUST-006</t>
  </si>
  <si>
    <t>Chris Taylor</t>
  </si>
  <si>
    <t>Gourmet Coffee</t>
  </si>
  <si>
    <t>GM-0012</t>
  </si>
  <si>
    <t>CUST-007</t>
  </si>
  <si>
    <t>Olivia Davis</t>
  </si>
  <si>
    <t>Winter Coat</t>
  </si>
  <si>
    <t>GM-0013</t>
  </si>
  <si>
    <t>Vacuum Cleaner</t>
  </si>
  <si>
    <t>GM-0014</t>
  </si>
  <si>
    <t>CUST-008</t>
  </si>
  <si>
    <t>Liam Wilson</t>
  </si>
  <si>
    <t>Gaming Console</t>
  </si>
  <si>
    <t>GM-0015</t>
  </si>
  <si>
    <t>Self-Help Guide</t>
  </si>
  <si>
    <t>Email</t>
  </si>
  <si>
    <t>City</t>
  </si>
  <si>
    <t>State</t>
  </si>
  <si>
    <t>LoyaltyStatus</t>
  </si>
  <si>
    <t>FirstPurchaseDate</t>
  </si>
  <si>
    <t>sarah.c@email.com</t>
  </si>
  <si>
    <t>Springfield</t>
  </si>
  <si>
    <t>Illinois</t>
  </si>
  <si>
    <t>Platinum</t>
  </si>
  <si>
    <t>emily.w@email.com</t>
  </si>
  <si>
    <t>Rivertown</t>
  </si>
  <si>
    <t>New York</t>
  </si>
  <si>
    <t>Gold</t>
  </si>
  <si>
    <t>david.l@email.com</t>
  </si>
  <si>
    <t>Lakeside</t>
  </si>
  <si>
    <t>Florida</t>
  </si>
  <si>
    <t>Silver</t>
  </si>
  <si>
    <t>michael.b@email.com</t>
  </si>
  <si>
    <t>Hillside</t>
  </si>
  <si>
    <t>California</t>
  </si>
  <si>
    <t>Bronze</t>
  </si>
  <si>
    <t>jessica.g@email.com</t>
  </si>
  <si>
    <t>Centralia</t>
  </si>
  <si>
    <t>Texas</t>
  </si>
  <si>
    <t>chris.t@email.com</t>
  </si>
  <si>
    <t>Oceanview</t>
  </si>
  <si>
    <t>olivia.d@email.com</t>
  </si>
  <si>
    <t>Metroville</t>
  </si>
  <si>
    <t>liam.w@email.com</t>
  </si>
  <si>
    <t>CUST-009</t>
  </si>
  <si>
    <t>Sophia Miller</t>
  </si>
  <si>
    <t>sophia.m@email.com</t>
  </si>
  <si>
    <t>CUST-010</t>
  </si>
  <si>
    <t>Noah Garcia</t>
  </si>
  <si>
    <t>noah.g@email.com</t>
  </si>
  <si>
    <t xml:space="preserve">Case Study: GlobalMart Sales &amp; Customer Analysis
Scenario:
You are a Business Analyst at "GlobalMart," a large retail company. Your management has provided you with two datasets: Sales Data (detailing individual transactions) and Customer Data (containing information about GlobalMart's registered customers).
Your task is to analyze this data to gain insights into sales performance, customer behavior, and regional trends. </t>
  </si>
  <si>
    <r>
      <t>Calculate Net Sales Amount:</t>
    </r>
    <r>
      <rPr>
        <sz val="11"/>
        <color rgb="FF000000"/>
        <rFont val="Arial"/>
        <family val="2"/>
      </rPr>
      <t xml:space="preserve"> In the </t>
    </r>
    <r>
      <rPr>
        <sz val="11"/>
        <color rgb="FF188038"/>
        <rFont val="Courier New"/>
        <family val="1"/>
      </rPr>
      <t>Sales Data</t>
    </r>
    <r>
      <rPr>
        <sz val="11"/>
        <color rgb="FF000000"/>
        <rFont val="Arial"/>
        <family val="2"/>
      </rPr>
      <t xml:space="preserve"> sheet, add a new column called </t>
    </r>
    <r>
      <rPr>
        <sz val="11"/>
        <color rgb="FF188038"/>
        <rFont val="Courier New"/>
        <family val="1"/>
      </rPr>
      <t>Net Sales Amount</t>
    </r>
    <r>
      <rPr>
        <sz val="11"/>
        <color rgb="FF000000"/>
        <rFont val="Arial"/>
        <family val="2"/>
      </rPr>
      <t xml:space="preserve">. This should be </t>
    </r>
    <r>
      <rPr>
        <sz val="11"/>
        <color rgb="FF188038"/>
        <rFont val="Courier New"/>
        <family val="1"/>
      </rPr>
      <t>UnitsSold * UnitPrice * (1 - Discount)</t>
    </r>
    <r>
      <rPr>
        <sz val="11"/>
        <color rgb="FF000000"/>
        <rFont val="Arial"/>
        <family val="2"/>
      </rPr>
      <t>. </t>
    </r>
  </si>
  <si>
    <r>
      <t>Order Month:</t>
    </r>
    <r>
      <rPr>
        <sz val="11"/>
        <color rgb="FF000000"/>
        <rFont val="Arial"/>
        <family val="2"/>
      </rPr>
      <t xml:space="preserve"> In the </t>
    </r>
    <r>
      <rPr>
        <sz val="11"/>
        <color rgb="FF188038"/>
        <rFont val="Courier New"/>
        <family val="1"/>
      </rPr>
      <t>Sales Data</t>
    </r>
    <r>
      <rPr>
        <sz val="11"/>
        <color rgb="FF000000"/>
        <rFont val="Arial"/>
        <family val="2"/>
      </rPr>
      <t xml:space="preserve"> sheet, add a new column called </t>
    </r>
    <r>
      <rPr>
        <sz val="11"/>
        <color rgb="FF188038"/>
        <rFont val="Courier New"/>
        <family val="1"/>
      </rPr>
      <t>OrderMonth</t>
    </r>
    <r>
      <rPr>
        <sz val="11"/>
        <color rgb="FF000000"/>
        <rFont val="Arial"/>
        <family val="2"/>
      </rPr>
      <t xml:space="preserve">. Extract the month name (e.g., "January", "February") from the </t>
    </r>
    <r>
      <rPr>
        <sz val="11"/>
        <color rgb="FF188038"/>
        <rFont val="Courier New"/>
        <family val="1"/>
      </rPr>
      <t>OrderDate</t>
    </r>
    <r>
      <rPr>
        <sz val="11"/>
        <color rgb="FF000000"/>
        <rFont val="Arial"/>
        <family val="2"/>
      </rPr>
      <t>. </t>
    </r>
  </si>
  <si>
    <r>
      <t>Order Year:</t>
    </r>
    <r>
      <rPr>
        <sz val="11"/>
        <color rgb="FF000000"/>
        <rFont val="Arial"/>
        <family val="2"/>
      </rPr>
      <t xml:space="preserve"> In the </t>
    </r>
    <r>
      <rPr>
        <sz val="11"/>
        <color rgb="FF188038"/>
        <rFont val="Courier New"/>
        <family val="1"/>
      </rPr>
      <t>Sales Data</t>
    </r>
    <r>
      <rPr>
        <sz val="11"/>
        <color rgb="FF000000"/>
        <rFont val="Arial"/>
        <family val="2"/>
      </rPr>
      <t xml:space="preserve"> sheet, add a new column called </t>
    </r>
    <r>
      <rPr>
        <sz val="11"/>
        <color rgb="FF188038"/>
        <rFont val="Courier New"/>
        <family val="1"/>
      </rPr>
      <t>OrderYear</t>
    </r>
    <r>
      <rPr>
        <sz val="11"/>
        <color rgb="FF000000"/>
        <rFont val="Arial"/>
        <family val="2"/>
      </rPr>
      <t xml:space="preserve">. Extract the year (e.g., "2023") from the </t>
    </r>
    <r>
      <rPr>
        <sz val="11"/>
        <color rgb="FF188038"/>
        <rFont val="Courier New"/>
        <family val="1"/>
      </rPr>
      <t>OrderDate</t>
    </r>
    <r>
      <rPr>
        <sz val="11"/>
        <color rgb="FF000000"/>
        <rFont val="Arial"/>
        <family val="2"/>
      </rPr>
      <t>. </t>
    </r>
  </si>
  <si>
    <r>
      <t>Total Units Sold:</t>
    </r>
    <r>
      <rPr>
        <sz val="11"/>
        <color rgb="FF000000"/>
        <rFont val="Arial"/>
        <family val="2"/>
      </rPr>
      <t xml:space="preserve"> What is the total number of </t>
    </r>
    <r>
      <rPr>
        <sz val="11"/>
        <color rgb="FF188038"/>
        <rFont val="Courier New"/>
        <family val="1"/>
      </rPr>
      <t>Units Sold</t>
    </r>
    <r>
      <rPr>
        <sz val="11"/>
        <color rgb="FF000000"/>
        <rFont val="Arial"/>
        <family val="2"/>
      </rPr>
      <t xml:space="preserve"> across all transactions? </t>
    </r>
  </si>
  <si>
    <r>
      <t>Average Unit Price:</t>
    </r>
    <r>
      <rPr>
        <sz val="11"/>
        <color rgb="FF000000"/>
        <rFont val="Arial"/>
        <family val="2"/>
      </rPr>
      <t xml:space="preserve"> What is the average </t>
    </r>
    <r>
      <rPr>
        <sz val="11"/>
        <color rgb="FF188038"/>
        <rFont val="Courier New"/>
        <family val="1"/>
      </rPr>
      <t>UnitPrice</t>
    </r>
    <r>
      <rPr>
        <sz val="11"/>
        <color rgb="FF000000"/>
        <rFont val="Arial"/>
        <family val="2"/>
      </rPr>
      <t xml:space="preserve"> of all products sold? </t>
    </r>
  </si>
  <si>
    <r>
      <t>Highest Sales Amount:</t>
    </r>
    <r>
      <rPr>
        <sz val="11"/>
        <color rgb="FF000000"/>
        <rFont val="Arial"/>
        <family val="2"/>
      </rPr>
      <t xml:space="preserve"> What was the single highest </t>
    </r>
    <r>
      <rPr>
        <sz val="11"/>
        <color rgb="FF188038"/>
        <rFont val="Courier New"/>
        <family val="1"/>
      </rPr>
      <t>Net Sales Amount</t>
    </r>
    <r>
      <rPr>
        <sz val="11"/>
        <color rgb="FF000000"/>
        <rFont val="Arial"/>
        <family val="2"/>
      </rPr>
      <t xml:space="preserve"> for any transaction?</t>
    </r>
  </si>
  <si>
    <r>
      <t>Number of Transactions:</t>
    </r>
    <r>
      <rPr>
        <sz val="11"/>
        <color rgb="FF000000"/>
        <rFont val="Arial"/>
        <family val="2"/>
      </rPr>
      <t xml:space="preserve"> How many total transactions are recorded in the </t>
    </r>
    <r>
      <rPr>
        <sz val="11"/>
        <color rgb="FF188038"/>
        <rFont val="Courier New"/>
        <family val="1"/>
      </rPr>
      <t>Sales Data</t>
    </r>
    <r>
      <rPr>
        <sz val="11"/>
        <color rgb="FF000000"/>
        <rFont val="Arial"/>
        <family val="2"/>
      </rPr>
      <t>? </t>
    </r>
  </si>
  <si>
    <r>
      <t>Expensive Orders:</t>
    </r>
    <r>
      <rPr>
        <sz val="11"/>
        <color rgb="FF000000"/>
        <rFont val="Arial"/>
        <family val="2"/>
      </rPr>
      <t xml:space="preserve"> How many orders had a </t>
    </r>
    <r>
      <rPr>
        <sz val="11"/>
        <color rgb="FF188038"/>
        <rFont val="Courier New"/>
        <family val="1"/>
      </rPr>
      <t>Net Sales Amount</t>
    </r>
    <r>
      <rPr>
        <sz val="11"/>
        <color rgb="FF000000"/>
        <rFont val="Arial"/>
        <family val="2"/>
      </rPr>
      <t xml:space="preserve"> greater than $200? </t>
    </r>
  </si>
  <si>
    <r>
      <t>Customer Loyalty Status in Sales Data (VLOOKUP/XLOOKUP):</t>
    </r>
    <r>
      <rPr>
        <sz val="11"/>
        <color rgb="FF000000"/>
        <rFont val="Arial"/>
        <family val="2"/>
      </rPr>
      <t xml:space="preserve"> In the </t>
    </r>
    <r>
      <rPr>
        <sz val="11"/>
        <color rgb="FF188038"/>
        <rFont val="Courier New"/>
        <family val="1"/>
      </rPr>
      <t>Sales Data</t>
    </r>
    <r>
      <rPr>
        <sz val="11"/>
        <color rgb="FF000000"/>
        <rFont val="Arial"/>
        <family val="2"/>
      </rPr>
      <t xml:space="preserve"> sheet, add a new column called </t>
    </r>
    <r>
      <rPr>
        <sz val="11"/>
        <color rgb="FF188038"/>
        <rFont val="Courier New"/>
        <family val="1"/>
      </rPr>
      <t>CustomerLoyaltyStatus</t>
    </r>
    <r>
      <rPr>
        <sz val="11"/>
        <color rgb="FF000000"/>
        <rFont val="Arial"/>
        <family val="2"/>
      </rPr>
      <t xml:space="preserve">. Use </t>
    </r>
    <r>
      <rPr>
        <sz val="11"/>
        <color rgb="FF188038"/>
        <rFont val="Courier New"/>
        <family val="1"/>
      </rPr>
      <t>CustomerID</t>
    </r>
    <r>
      <rPr>
        <sz val="11"/>
        <color rgb="FF000000"/>
        <rFont val="Arial"/>
        <family val="2"/>
      </rPr>
      <t xml:space="preserve"> to look up the </t>
    </r>
    <r>
      <rPr>
        <sz val="11"/>
        <color rgb="FF188038"/>
        <rFont val="Courier New"/>
        <family val="1"/>
      </rPr>
      <t>LoyaltyStatus</t>
    </r>
    <r>
      <rPr>
        <sz val="11"/>
        <color rgb="FF000000"/>
        <rFont val="Arial"/>
        <family val="2"/>
      </rPr>
      <t xml:space="preserve"> from the </t>
    </r>
    <r>
      <rPr>
        <sz val="11"/>
        <color rgb="FF188038"/>
        <rFont val="Courier New"/>
        <family val="1"/>
      </rPr>
      <t>Customer Data</t>
    </r>
    <r>
      <rPr>
        <sz val="11"/>
        <color rgb="FF000000"/>
        <rFont val="Arial"/>
        <family val="2"/>
      </rPr>
      <t xml:space="preserve"> sheet and bring it into the </t>
    </r>
    <r>
      <rPr>
        <sz val="11"/>
        <color rgb="FF188038"/>
        <rFont val="Courier New"/>
        <family val="1"/>
      </rPr>
      <t>Sales Data</t>
    </r>
    <r>
      <rPr>
        <sz val="11"/>
        <color rgb="FF000000"/>
        <rFont val="Arial"/>
        <family val="2"/>
      </rPr>
      <t xml:space="preserve"> sheet. (Hint: Use </t>
    </r>
    <r>
      <rPr>
        <sz val="11"/>
        <color rgb="FF188038"/>
        <rFont val="Courier New"/>
        <family val="1"/>
      </rPr>
      <t>VLOOKUP</t>
    </r>
    <r>
      <rPr>
        <sz val="11"/>
        <color rgb="FF000000"/>
        <rFont val="Arial"/>
        <family val="2"/>
      </rPr>
      <t xml:space="preserve"> or </t>
    </r>
    <r>
      <rPr>
        <sz val="11"/>
        <color rgb="FF188038"/>
        <rFont val="Courier New"/>
        <family val="1"/>
      </rPr>
      <t>XLOOKUP</t>
    </r>
    <r>
      <rPr>
        <sz val="11"/>
        <color rgb="FF000000"/>
        <rFont val="Arial"/>
        <family val="2"/>
      </rPr>
      <t>).</t>
    </r>
  </si>
  <si>
    <r>
      <t>Customer City in Sales Data (VLOOKUP/XLOOKUP):</t>
    </r>
    <r>
      <rPr>
        <sz val="11"/>
        <color rgb="FF000000"/>
        <rFont val="Arial"/>
        <family val="2"/>
      </rPr>
      <t xml:space="preserve"> Similar to Q9, add a new column </t>
    </r>
    <r>
      <rPr>
        <sz val="11"/>
        <color rgb="FF188038"/>
        <rFont val="Courier New"/>
        <family val="1"/>
      </rPr>
      <t>CustomerCity</t>
    </r>
    <r>
      <rPr>
        <sz val="11"/>
        <color rgb="FF000000"/>
        <rFont val="Arial"/>
        <family val="2"/>
      </rPr>
      <t xml:space="preserve"> in </t>
    </r>
    <r>
      <rPr>
        <sz val="11"/>
        <color rgb="FF188038"/>
        <rFont val="Courier New"/>
        <family val="1"/>
      </rPr>
      <t>Sales Data</t>
    </r>
    <r>
      <rPr>
        <sz val="11"/>
        <color rgb="FF000000"/>
        <rFont val="Arial"/>
        <family val="2"/>
      </rPr>
      <t xml:space="preserve"> and populate it using </t>
    </r>
    <r>
      <rPr>
        <sz val="11"/>
        <color rgb="FF188038"/>
        <rFont val="Courier New"/>
        <family val="1"/>
      </rPr>
      <t>CustomerID</t>
    </r>
    <r>
      <rPr>
        <sz val="11"/>
        <color rgb="FF000000"/>
        <rFont val="Arial"/>
        <family val="2"/>
      </rPr>
      <t xml:space="preserve"> to get the </t>
    </r>
    <r>
      <rPr>
        <sz val="11"/>
        <color rgb="FF188038"/>
        <rFont val="Courier New"/>
        <family val="1"/>
      </rPr>
      <t>City</t>
    </r>
    <r>
      <rPr>
        <sz val="11"/>
        <color rgb="FF000000"/>
        <rFont val="Arial"/>
        <family val="2"/>
      </rPr>
      <t xml:space="preserve"> from </t>
    </r>
    <r>
      <rPr>
        <sz val="11"/>
        <color rgb="FF188038"/>
        <rFont val="Courier New"/>
        <family val="1"/>
      </rPr>
      <t>Customer Data</t>
    </r>
    <r>
      <rPr>
        <sz val="11"/>
        <color rgb="FF000000"/>
        <rFont val="Arial"/>
        <family val="2"/>
      </rPr>
      <t>.</t>
    </r>
  </si>
  <si>
    <r>
      <t>Find Specific Customer Email (INDEX/MATCH or XLOOKUP):</t>
    </r>
    <r>
      <rPr>
        <sz val="11"/>
        <color rgb="FF000000"/>
        <rFont val="Arial"/>
        <family val="2"/>
      </rPr>
      <t xml:space="preserve"> If you know </t>
    </r>
    <r>
      <rPr>
        <sz val="11"/>
        <color rgb="FF188038"/>
        <rFont val="Courier New"/>
        <family val="1"/>
      </rPr>
      <t>CustomerName</t>
    </r>
    <r>
      <rPr>
        <sz val="11"/>
        <color rgb="FF000000"/>
        <rFont val="Arial"/>
        <family val="2"/>
      </rPr>
      <t xml:space="preserve"> "Michael Brown", what is their </t>
    </r>
    <r>
      <rPr>
        <sz val="11"/>
        <color rgb="FF188038"/>
        <rFont val="Courier New"/>
        <family val="1"/>
      </rPr>
      <t>Email</t>
    </r>
    <r>
      <rPr>
        <sz val="11"/>
        <color rgb="FF000000"/>
        <rFont val="Arial"/>
        <family val="2"/>
      </rPr>
      <t xml:space="preserve"> address from the </t>
    </r>
    <r>
      <rPr>
        <sz val="11"/>
        <color rgb="FF188038"/>
        <rFont val="Courier New"/>
        <family val="1"/>
      </rPr>
      <t>Customer Data</t>
    </r>
    <r>
      <rPr>
        <sz val="11"/>
        <color rgb="FF000000"/>
        <rFont val="Arial"/>
        <family val="2"/>
      </rPr>
      <t xml:space="preserve"> sheet? (Hint: Use </t>
    </r>
    <r>
      <rPr>
        <sz val="11"/>
        <color rgb="FF188038"/>
        <rFont val="Courier New"/>
        <family val="1"/>
      </rPr>
      <t>INDEX/MATCH</t>
    </r>
    <r>
      <rPr>
        <sz val="11"/>
        <color rgb="FF000000"/>
        <rFont val="Arial"/>
        <family val="2"/>
      </rPr>
      <t xml:space="preserve"> or </t>
    </r>
    <r>
      <rPr>
        <sz val="11"/>
        <color rgb="FF188038"/>
        <rFont val="Courier New"/>
        <family val="1"/>
      </rPr>
      <t>XLOOKUP</t>
    </r>
    <r>
      <rPr>
        <sz val="11"/>
        <color rgb="FF000000"/>
        <rFont val="Arial"/>
        <family val="2"/>
      </rPr>
      <t>).</t>
    </r>
  </si>
  <si>
    <r>
      <t xml:space="preserve">Product Category Discount (HLOOKUP - </t>
    </r>
    <r>
      <rPr>
        <b/>
        <i/>
        <sz val="11"/>
        <color rgb="FF000000"/>
        <rFont val="Arial"/>
        <family val="2"/>
      </rPr>
      <t>Requires a small lookup table</t>
    </r>
    <r>
      <rPr>
        <b/>
        <sz val="11"/>
        <color rgb="FF000000"/>
        <rFont val="Arial"/>
        <family val="2"/>
      </rPr>
      <t>):</t>
    </r>
    <r>
      <rPr>
        <sz val="11"/>
        <color rgb="FF000000"/>
        <rFont val="Arial"/>
        <family val="2"/>
      </rPr>
      <t xml:space="preserve"> Create a small separate table (e.g., on a new sheet or to the side of your </t>
    </r>
    <r>
      <rPr>
        <sz val="11"/>
        <color rgb="FF188038"/>
        <rFont val="Courier New"/>
        <family val="1"/>
      </rPr>
      <t>Sales Data</t>
    </r>
    <r>
      <rPr>
        <sz val="11"/>
        <color rgb="FF000000"/>
        <rFont val="Arial"/>
        <family val="2"/>
      </rPr>
      <t xml:space="preserve"> sheet) that maps </t>
    </r>
    <r>
      <rPr>
        <sz val="11"/>
        <color rgb="FF188038"/>
        <rFont val="Courier New"/>
        <family val="1"/>
      </rPr>
      <t>ProductCategory</t>
    </r>
    <r>
      <rPr>
        <sz val="11"/>
        <color rgb="FF000000"/>
        <rFont val="Arial"/>
        <family val="2"/>
      </rPr>
      <t xml:space="preserve"> to a </t>
    </r>
    <r>
      <rPr>
        <sz val="11"/>
        <color rgb="FF188038"/>
        <rFont val="Courier New"/>
        <family val="1"/>
      </rPr>
      <t>StandardDiscount</t>
    </r>
    <r>
      <rPr>
        <sz val="11"/>
        <color rgb="FF000000"/>
        <rFont val="Arial"/>
        <family val="2"/>
      </rPr>
      <t xml:space="preserve"> (e.g., Electronics: 0.02, Apparel: 0.03, Home Goods: 0.01, Books: 0.00, Food: 0.005). Use </t>
    </r>
    <r>
      <rPr>
        <sz val="11"/>
        <color rgb="FF188038"/>
        <rFont val="Courier New"/>
        <family val="1"/>
      </rPr>
      <t>HLOOKUP</t>
    </r>
    <r>
      <rPr>
        <sz val="11"/>
        <color rgb="FF000000"/>
        <rFont val="Arial"/>
        <family val="2"/>
      </rPr>
      <t xml:space="preserve"> to find the </t>
    </r>
    <r>
      <rPr>
        <sz val="11"/>
        <color rgb="FF188038"/>
        <rFont val="Courier New"/>
        <family val="1"/>
      </rPr>
      <t>StandardDiscount</t>
    </r>
    <r>
      <rPr>
        <sz val="11"/>
        <color rgb="FF000000"/>
        <rFont val="Arial"/>
        <family val="2"/>
      </rPr>
      <t xml:space="preserve"> for "Apparel". </t>
    </r>
    <r>
      <rPr>
        <i/>
        <sz val="11"/>
        <color rgb="FF000000"/>
        <rFont val="Arial"/>
        <family val="2"/>
      </rPr>
      <t>(Note: This is a more contrived HLOOKUP example as data is usually vertical)</t>
    </r>
  </si>
  <si>
    <r>
      <t>Total Sales by Salesperson:</t>
    </r>
    <r>
      <rPr>
        <sz val="11"/>
        <color rgb="FF000000"/>
        <rFont val="Arial"/>
        <family val="2"/>
      </rPr>
      <t xml:space="preserve"> Create a Pivot Table to show the </t>
    </r>
    <r>
      <rPr>
        <sz val="11"/>
        <color rgb="FF188038"/>
        <rFont val="Courier New"/>
        <family val="1"/>
      </rPr>
      <t>Sum of Net Sales Amount</t>
    </r>
    <r>
      <rPr>
        <sz val="11"/>
        <color rgb="FF000000"/>
        <rFont val="Arial"/>
        <family val="2"/>
      </rPr>
      <t xml:space="preserve"> for each </t>
    </r>
    <r>
      <rPr>
        <sz val="11"/>
        <color rgb="FF188038"/>
        <rFont val="Courier New"/>
        <family val="1"/>
      </rPr>
      <t>Salesperson</t>
    </r>
    <r>
      <rPr>
        <sz val="11"/>
        <color rgb="FF000000"/>
        <rFont val="Arial"/>
        <family val="2"/>
      </rPr>
      <t>.</t>
    </r>
  </si>
  <si>
    <r>
      <t>Total Sales by Region and Product Category:</t>
    </r>
    <r>
      <rPr>
        <sz val="11"/>
        <color rgb="FF000000"/>
        <rFont val="Arial"/>
        <family val="2"/>
      </rPr>
      <t xml:space="preserve"> Create a Pivot Table that shows the </t>
    </r>
    <r>
      <rPr>
        <sz val="11"/>
        <color rgb="FF188038"/>
        <rFont val="Courier New"/>
        <family val="1"/>
      </rPr>
      <t>Sum of Net Sales Amount</t>
    </r>
    <r>
      <rPr>
        <sz val="11"/>
        <color rgb="FF000000"/>
        <rFont val="Arial"/>
        <family val="2"/>
      </rPr>
      <t xml:space="preserve">, with </t>
    </r>
    <r>
      <rPr>
        <sz val="11"/>
        <color rgb="FF188038"/>
        <rFont val="Courier New"/>
        <family val="1"/>
      </rPr>
      <t>Region</t>
    </r>
    <r>
      <rPr>
        <sz val="11"/>
        <color rgb="FF000000"/>
        <rFont val="Arial"/>
        <family val="2"/>
      </rPr>
      <t xml:space="preserve"> as rows and </t>
    </r>
    <r>
      <rPr>
        <sz val="11"/>
        <color rgb="FF188038"/>
        <rFont val="Courier New"/>
        <family val="1"/>
      </rPr>
      <t>ProductCategory</t>
    </r>
    <r>
      <rPr>
        <sz val="11"/>
        <color rgb="FF000000"/>
        <rFont val="Arial"/>
        <family val="2"/>
      </rPr>
      <t xml:space="preserve"> as columns.</t>
    </r>
  </si>
  <si>
    <r>
      <t>Average Sales per Payment Method:</t>
    </r>
    <r>
      <rPr>
        <sz val="11"/>
        <color rgb="FF000000"/>
        <rFont val="Arial"/>
        <family val="2"/>
      </rPr>
      <t xml:space="preserve"> Create a Pivot Table to show the </t>
    </r>
    <r>
      <rPr>
        <sz val="11"/>
        <color rgb="FF188038"/>
        <rFont val="Courier New"/>
        <family val="1"/>
      </rPr>
      <t>Average of Net Sales Amount</t>
    </r>
    <r>
      <rPr>
        <sz val="11"/>
        <color rgb="FF000000"/>
        <rFont val="Arial"/>
        <family val="2"/>
      </rPr>
      <t xml:space="preserve"> for each </t>
    </r>
    <r>
      <rPr>
        <sz val="11"/>
        <color rgb="FF188038"/>
        <rFont val="Courier New"/>
        <family val="1"/>
      </rPr>
      <t>PaymentMethod</t>
    </r>
    <r>
      <rPr>
        <sz val="11"/>
        <color rgb="FF000000"/>
        <rFont val="Arial"/>
        <family val="2"/>
      </rPr>
      <t>.</t>
    </r>
  </si>
  <si>
    <r>
      <t>Units Sold by Month and Product Category:</t>
    </r>
    <r>
      <rPr>
        <sz val="11"/>
        <color rgb="FF000000"/>
        <rFont val="Arial"/>
        <family val="2"/>
      </rPr>
      <t xml:space="preserve"> Create a Pivot Table showing the </t>
    </r>
    <r>
      <rPr>
        <sz val="11"/>
        <color rgb="FF188038"/>
        <rFont val="Courier New"/>
        <family val="1"/>
      </rPr>
      <t>Sum of Units Sold</t>
    </r>
    <r>
      <rPr>
        <sz val="11"/>
        <color rgb="FF000000"/>
        <rFont val="Arial"/>
        <family val="2"/>
      </rPr>
      <t xml:space="preserve">, with </t>
    </r>
    <r>
      <rPr>
        <sz val="11"/>
        <color rgb="FF188038"/>
        <rFont val="Courier New"/>
        <family val="1"/>
      </rPr>
      <t>OrderMonth</t>
    </r>
    <r>
      <rPr>
        <sz val="11"/>
        <color rgb="FF000000"/>
        <rFont val="Arial"/>
        <family val="2"/>
      </rPr>
      <t xml:space="preserve"> as rows and </t>
    </r>
    <r>
      <rPr>
        <sz val="11"/>
        <color rgb="FF188038"/>
        <rFont val="Courier New"/>
        <family val="1"/>
      </rPr>
      <t>ProductCategory</t>
    </r>
    <r>
      <rPr>
        <sz val="11"/>
        <color rgb="FF000000"/>
        <rFont val="Arial"/>
        <family val="2"/>
      </rPr>
      <t xml:space="preserve"> as columns.</t>
    </r>
  </si>
  <si>
    <r>
      <t>Top 5 Products by Sales Amount:</t>
    </r>
    <r>
      <rPr>
        <sz val="11"/>
        <color rgb="FF000000"/>
        <rFont val="Arial"/>
        <family val="2"/>
      </rPr>
      <t xml:space="preserve"> Create a Pivot Table showing </t>
    </r>
    <r>
      <rPr>
        <sz val="11"/>
        <color rgb="FF188038"/>
        <rFont val="Courier New"/>
        <family val="1"/>
      </rPr>
      <t>Sum of Net Sales Amount</t>
    </r>
    <r>
      <rPr>
        <sz val="11"/>
        <color rgb="FF000000"/>
        <rFont val="Arial"/>
        <family val="2"/>
      </rPr>
      <t xml:space="preserve"> by </t>
    </r>
    <r>
      <rPr>
        <sz val="11"/>
        <color rgb="FF188038"/>
        <rFont val="Courier New"/>
        <family val="1"/>
      </rPr>
      <t>ProductName</t>
    </r>
    <r>
      <rPr>
        <sz val="11"/>
        <color rgb="FF000000"/>
        <rFont val="Arial"/>
        <family val="2"/>
      </rPr>
      <t>. Then, apply a filter to show only the Top 5 products by sales.</t>
    </r>
  </si>
  <si>
    <r>
      <t>Sales Trend by Quarter:</t>
    </r>
    <r>
      <rPr>
        <sz val="11"/>
        <color rgb="FF000000"/>
        <rFont val="Arial"/>
        <family val="2"/>
      </rPr>
      <t xml:space="preserve"> Create a Pivot Table showing </t>
    </r>
    <r>
      <rPr>
        <sz val="11"/>
        <color rgb="FF188038"/>
        <rFont val="Courier New"/>
        <family val="1"/>
      </rPr>
      <t>Sum of Net Sales Amount</t>
    </r>
    <r>
      <rPr>
        <sz val="11"/>
        <color rgb="FF000000"/>
        <rFont val="Arial"/>
        <family val="2"/>
      </rPr>
      <t xml:space="preserve"> by </t>
    </r>
    <r>
      <rPr>
        <sz val="11"/>
        <color rgb="FF188038"/>
        <rFont val="Courier New"/>
        <family val="1"/>
      </rPr>
      <t>OrderDate</t>
    </r>
    <r>
      <rPr>
        <sz val="11"/>
        <color rgb="FF000000"/>
        <rFont val="Arial"/>
        <family val="2"/>
      </rPr>
      <t xml:space="preserve">. Then, group the </t>
    </r>
    <r>
      <rPr>
        <sz val="11"/>
        <color rgb="FF188038"/>
        <rFont val="Courier New"/>
        <family val="1"/>
      </rPr>
      <t>OrderDate</t>
    </r>
    <r>
      <rPr>
        <sz val="11"/>
        <color rgb="FF000000"/>
        <rFont val="Arial"/>
        <family val="2"/>
      </rPr>
      <t xml:space="preserve"> field by </t>
    </r>
    <r>
      <rPr>
        <sz val="11"/>
        <color rgb="FF188038"/>
        <rFont val="Courier New"/>
        <family val="1"/>
      </rPr>
      <t>Quarters</t>
    </r>
    <r>
      <rPr>
        <sz val="11"/>
        <color rgb="FF000000"/>
        <rFont val="Arial"/>
        <family val="2"/>
      </rPr>
      <t xml:space="preserve"> and </t>
    </r>
    <r>
      <rPr>
        <sz val="11"/>
        <color rgb="FF188038"/>
        <rFont val="Courier New"/>
        <family val="1"/>
      </rPr>
      <t>Years</t>
    </r>
    <r>
      <rPr>
        <sz val="11"/>
        <color rgb="FF000000"/>
        <rFont val="Arial"/>
        <family val="2"/>
      </rPr>
      <t>.</t>
    </r>
  </si>
  <si>
    <r>
      <t>Customer Loyalty Status Sales Contribution:</t>
    </r>
    <r>
      <rPr>
        <sz val="11"/>
        <color rgb="FF000000"/>
        <rFont val="Arial"/>
        <family val="2"/>
      </rPr>
      <t xml:space="preserve"> Create a Pivot Table showing the </t>
    </r>
    <r>
      <rPr>
        <sz val="11"/>
        <color rgb="FF188038"/>
        <rFont val="Courier New"/>
        <family val="1"/>
      </rPr>
      <t>Sum of Net Sales Amount</t>
    </r>
    <r>
      <rPr>
        <sz val="11"/>
        <color rgb="FF000000"/>
        <rFont val="Arial"/>
        <family val="2"/>
      </rPr>
      <t xml:space="preserve"> for each </t>
    </r>
    <r>
      <rPr>
        <sz val="11"/>
        <color rgb="FF188038"/>
        <rFont val="Courier New"/>
        <family val="1"/>
      </rPr>
      <t>CustomerLoyaltyStatus</t>
    </r>
    <r>
      <rPr>
        <sz val="11"/>
        <color rgb="FF000000"/>
        <rFont val="Arial"/>
        <family val="2"/>
      </rPr>
      <t>.</t>
    </r>
  </si>
  <si>
    <r>
      <t>Count of Orders by Salesperson and Payment Method:</t>
    </r>
    <r>
      <rPr>
        <sz val="11"/>
        <color rgb="FF000000"/>
        <rFont val="Arial"/>
        <family val="2"/>
      </rPr>
      <t xml:space="preserve"> Create a Pivot Table to count the number of </t>
    </r>
    <r>
      <rPr>
        <sz val="11"/>
        <color rgb="FF188038"/>
        <rFont val="Courier New"/>
        <family val="1"/>
      </rPr>
      <t>OrderID</t>
    </r>
    <r>
      <rPr>
        <sz val="11"/>
        <color rgb="FF000000"/>
        <rFont val="Arial"/>
        <family val="2"/>
      </rPr>
      <t xml:space="preserve">s (or any non-numeric field) for each </t>
    </r>
    <r>
      <rPr>
        <sz val="11"/>
        <color rgb="FF188038"/>
        <rFont val="Courier New"/>
        <family val="1"/>
      </rPr>
      <t>Salesperson</t>
    </r>
    <r>
      <rPr>
        <sz val="11"/>
        <color rgb="FF000000"/>
        <rFont val="Arial"/>
        <family val="2"/>
      </rPr>
      <t xml:space="preserve"> and </t>
    </r>
    <r>
      <rPr>
        <sz val="11"/>
        <color rgb="FF188038"/>
        <rFont val="Courier New"/>
        <family val="1"/>
      </rPr>
      <t>PaymentMethod</t>
    </r>
    <r>
      <rPr>
        <sz val="11"/>
        <color rgb="FF000000"/>
        <rFont val="Arial"/>
        <family val="2"/>
      </rPr>
      <t>.</t>
    </r>
  </si>
  <si>
    <t>CUST-011</t>
  </si>
  <si>
    <t>CUST-012</t>
  </si>
  <si>
    <t>CUST-013</t>
  </si>
  <si>
    <t>CUST-014</t>
  </si>
  <si>
    <t>CUST-015</t>
  </si>
  <si>
    <t>John</t>
  </si>
  <si>
    <t>Emily</t>
  </si>
  <si>
    <t>London</t>
  </si>
  <si>
    <t>Seattle</t>
  </si>
  <si>
    <t>Bali</t>
  </si>
  <si>
    <t>GM-0016</t>
  </si>
  <si>
    <t>GM-0017</t>
  </si>
  <si>
    <t>GM-0018</t>
  </si>
  <si>
    <t>GM-0019</t>
  </si>
  <si>
    <t>GM-0020</t>
  </si>
  <si>
    <t>GM-0021</t>
  </si>
  <si>
    <t>GM-0022</t>
  </si>
  <si>
    <t>GM-0023</t>
  </si>
  <si>
    <t>GM-0024</t>
  </si>
  <si>
    <t>GM-0025</t>
  </si>
  <si>
    <t>GM-0026</t>
  </si>
  <si>
    <t>GM-0027</t>
  </si>
  <si>
    <t>GM-0028</t>
  </si>
  <si>
    <t>RmoCom</t>
  </si>
  <si>
    <t>Summer wear</t>
  </si>
  <si>
    <t>Dispenser</t>
  </si>
  <si>
    <t>Sci-fi Novel</t>
  </si>
  <si>
    <t>NeT Sales</t>
  </si>
  <si>
    <t>Order_Month</t>
  </si>
  <si>
    <t>Order_Year</t>
  </si>
  <si>
    <t>CustomerLoyaltyStatus</t>
  </si>
  <si>
    <t>CustomerCity</t>
  </si>
  <si>
    <t>StandardDiscount</t>
  </si>
  <si>
    <t>Products_discount</t>
  </si>
  <si>
    <t>Total Sales by Salesperson</t>
  </si>
  <si>
    <t>Row Labels</t>
  </si>
  <si>
    <t>Grand Total</t>
  </si>
  <si>
    <t>Sum of NeT Sales</t>
  </si>
  <si>
    <t>Total Sales by Region and Product Category</t>
  </si>
  <si>
    <t>February</t>
  </si>
  <si>
    <t>January</t>
  </si>
  <si>
    <t>March</t>
  </si>
  <si>
    <t>April</t>
  </si>
  <si>
    <t>Average Sales per Payment Method</t>
  </si>
  <si>
    <t>Average of NeT Sales</t>
  </si>
  <si>
    <t>Units Sold by Month and Product Category</t>
  </si>
  <si>
    <t>Sum of UnitsSold</t>
  </si>
  <si>
    <t>Top 5 Products by Sales Amount</t>
  </si>
  <si>
    <t>Sales Trend by Quarter</t>
  </si>
  <si>
    <t>Order_Quarter</t>
  </si>
  <si>
    <t>Q1 - 2023</t>
  </si>
  <si>
    <t>Q2 - 2023</t>
  </si>
  <si>
    <t>Customer Loyalty Status Sales</t>
  </si>
  <si>
    <t>Count of Orders by Salesperson and Payment Method</t>
  </si>
  <si>
    <t>Count of OrderID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</si>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</sst>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7" formatCode="_([$USD]\ * #,##0.00_);_([$USD]\ * \(#,##0.00\);_([$USD]\ * &quot;-&quot;??_);_(@_)"/>
  </numFmts>
  <fonts count="13"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scheme val="minor"/>
    </font>
    <font>
      <b/>
      <sz val="18"/>
      <color theme="1"/>
      <name val="Aptos Narrow (Body)"/>
    </font>
    <font>
      <b/>
      <sz val="11"/>
      <color rgb="FF000000"/>
      <name val="Arial"/>
      <family val="2"/>
    </font>
    <font>
      <sz val="11"/>
      <color rgb="FF000000"/>
      <name val="Arial"/>
      <family val="2"/>
    </font>
    <font>
      <sz val="11"/>
      <color rgb="FF188038"/>
      <name val="Courier New"/>
      <family val="1"/>
    </font>
    <font>
      <b/>
      <i/>
      <sz val="11"/>
      <color rgb="FF000000"/>
      <name val="Arial"/>
      <family val="2"/>
    </font>
    <font>
      <i/>
      <sz val="11"/>
      <color rgb="FF000000"/>
      <name val="Arial"/>
      <family val="2"/>
    </font>
    <font>
      <sz val="8"/>
      <name val="Aptos Narrow"/>
      <family val="2"/>
      <scheme val="minor"/>
    </font>
    <font>
      <sz val="12"/>
      <color rgb="FF000000"/>
      <name val="Aptos Narrow"/>
      <family val="2"/>
      <scheme val="minor"/>
    </font>
    <font>
      <b/>
      <sz val="10"/>
      <color theme="1"/>
      <name val="Arial Unicode MS"/>
      <family val="2"/>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37">
    <xf numFmtId="0" fontId="0" fillId="0" borderId="0" xfId="0"/>
    <xf numFmtId="0" fontId="2" fillId="0" borderId="0" xfId="0" applyFont="1"/>
    <xf numFmtId="14" fontId="0" fillId="0" borderId="0" xfId="0" applyNumberFormat="1"/>
    <xf numFmtId="0" fontId="4" fillId="0" borderId="2" xfId="0" applyFont="1" applyBorder="1" applyAlignment="1">
      <alignment horizontal="center" wrapText="1"/>
    </xf>
    <xf numFmtId="0" fontId="5" fillId="0" borderId="0" xfId="0" applyFont="1"/>
    <xf numFmtId="0" fontId="11" fillId="0" borderId="0" xfId="0" applyFont="1"/>
    <xf numFmtId="0" fontId="3" fillId="0" borderId="0" xfId="0" applyFont="1"/>
    <xf numFmtId="0" fontId="3" fillId="2" borderId="1" xfId="0" applyFont="1" applyFill="1" applyBorder="1"/>
    <xf numFmtId="0" fontId="12" fillId="0" borderId="0" xfId="0" applyFont="1"/>
    <xf numFmtId="0" fontId="0" fillId="0" borderId="0" xfId="0" pivotButton="1"/>
    <xf numFmtId="0" fontId="0" fillId="0" borderId="0" xfId="0" applyAlignment="1">
      <alignment horizontal="left"/>
    </xf>
    <xf numFmtId="0" fontId="0" fillId="0" borderId="0" xfId="0" applyNumberFormat="1"/>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0" xfId="0" applyFont="1" applyFill="1" applyBorder="1" applyAlignment="1">
      <alignment horizontal="center" wrapText="1"/>
    </xf>
    <xf numFmtId="0" fontId="3" fillId="2" borderId="11" xfId="0" applyFont="1" applyFill="1" applyBorder="1" applyAlignment="1">
      <alignment horizontal="center" wrapText="1"/>
    </xf>
    <xf numFmtId="0" fontId="0" fillId="0" borderId="0" xfId="0" applyAlignment="1">
      <alignment horizontal="left" indent="1"/>
    </xf>
    <xf numFmtId="0" fontId="3" fillId="2" borderId="0" xfId="0" applyFont="1" applyFill="1" applyBorder="1" applyAlignment="1">
      <alignment horizontal="center" wrapText="1"/>
    </xf>
    <xf numFmtId="0" fontId="3" fillId="2" borderId="2" xfId="0" applyFont="1" applyFill="1" applyBorder="1" applyAlignment="1">
      <alignment horizontal="center" wrapText="1"/>
    </xf>
    <xf numFmtId="0" fontId="3" fillId="2" borderId="4" xfId="0" applyFont="1" applyFill="1" applyBorder="1" applyAlignment="1">
      <alignment horizontal="center" wrapText="1"/>
    </xf>
    <xf numFmtId="0" fontId="3" fillId="2" borderId="7" xfId="0" applyFont="1" applyFill="1" applyBorder="1" applyAlignment="1">
      <alignment horizontal="center" wrapText="1"/>
    </xf>
    <xf numFmtId="0" fontId="3" fillId="2" borderId="9" xfId="0" applyFont="1" applyFill="1" applyBorder="1" applyAlignment="1">
      <alignment horizontal="center" wrapText="1"/>
    </xf>
    <xf numFmtId="0" fontId="0" fillId="0" borderId="0" xfId="0" applyBorder="1"/>
    <xf numFmtId="0" fontId="3" fillId="2" borderId="12" xfId="0" applyFont="1" applyFill="1" applyBorder="1" applyAlignment="1">
      <alignment horizontal="center"/>
    </xf>
    <xf numFmtId="0" fontId="3" fillId="2" borderId="5" xfId="0" applyFont="1" applyFill="1" applyBorder="1" applyAlignment="1">
      <alignment horizontal="center" wrapText="1"/>
    </xf>
    <xf numFmtId="0" fontId="3" fillId="0" borderId="3" xfId="0" applyFont="1" applyBorder="1" applyAlignment="1"/>
    <xf numFmtId="0" fontId="3" fillId="0" borderId="0" xfId="0" applyFont="1" applyBorder="1" applyAlignment="1"/>
    <xf numFmtId="0" fontId="4" fillId="0" borderId="3" xfId="0" applyFont="1" applyBorder="1" applyAlignment="1">
      <alignment horizontal="center" wrapText="1"/>
    </xf>
    <xf numFmtId="0" fontId="4" fillId="0" borderId="5" xfId="0" applyFont="1" applyBorder="1" applyAlignment="1">
      <alignment horizontal="center" wrapText="1"/>
    </xf>
    <xf numFmtId="0" fontId="4" fillId="0" borderId="0" xfId="0" applyFont="1" applyBorder="1" applyAlignment="1">
      <alignment horizontal="center" wrapText="1"/>
    </xf>
    <xf numFmtId="0" fontId="4" fillId="0" borderId="4" xfId="0" applyFont="1" applyBorder="1" applyAlignment="1">
      <alignment horizontal="center"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9" xfId="0" applyFont="1" applyBorder="1" applyAlignment="1">
      <alignment horizontal="center" wrapText="1"/>
    </xf>
    <xf numFmtId="167" fontId="0" fillId="0" borderId="0" xfId="1" applyNumberFormat="1" applyFont="1"/>
    <xf numFmtId="10" fontId="0" fillId="0" borderId="0" xfId="0" applyNumberForma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na Roy" refreshedDate="45812.927864351848" createdVersion="8" refreshedVersion="8" minRefreshableVersion="3" recordCount="28" xr:uid="{3CF24622-FE2C-024E-A886-2A688AEFE8FE}">
  <cacheSource type="worksheet">
    <worksheetSource ref="A1:Q29" sheet="sales"/>
  </cacheSource>
  <cacheFields count="19">
    <cacheField name="OrderID" numFmtId="0">
      <sharedItems/>
    </cacheField>
    <cacheField name="OrderDate" numFmtId="14">
      <sharedItems containsSemiMixedTypes="0" containsNonDate="0" containsDate="1" containsString="0" minDate="2023-01-15T00:00:00" maxDate="2023-04-11T00:00:00" count="20">
        <d v="2023-01-15T00:00:00"/>
        <d v="2023-01-18T00:00:00"/>
        <d v="2023-01-20T00:00:00"/>
        <d v="2023-02-01T00:00:00"/>
        <d v="2023-02-05T00:00:00"/>
        <d v="2023-02-10T00:00:00"/>
        <d v="2023-02-12T00:00:00"/>
        <d v="2023-03-01T00:00:00"/>
        <d v="2023-03-05T00:00:00"/>
        <d v="2023-03-08T00:00:00"/>
        <d v="2023-03-10T00:00:00"/>
        <d v="2023-03-15T00:00:00"/>
        <d v="2023-04-01T00:00:00"/>
        <d v="2023-04-05T00:00:00"/>
        <d v="2023-04-10T00:00:00"/>
        <d v="2023-03-06T00:00:00"/>
        <d v="2023-03-07T00:00:00"/>
        <d v="2023-03-09T00:00:00"/>
        <d v="2023-02-11T00:00:00"/>
        <d v="2023-02-13T00:00:00"/>
      </sharedItems>
      <fieldGroup par="18"/>
    </cacheField>
    <cacheField name="CustomerID" numFmtId="0">
      <sharedItems/>
    </cacheField>
    <cacheField name="CustomerName" numFmtId="0">
      <sharedItems/>
    </cacheField>
    <cacheField name="Region" numFmtId="0">
      <sharedItems count="5">
        <s v="North"/>
        <s v="South"/>
        <s v="East"/>
        <s v="West"/>
        <s v="Central"/>
      </sharedItems>
    </cacheField>
    <cacheField name="ProductCategory" numFmtId="0">
      <sharedItems count="5">
        <s v="Electronics"/>
        <s v="Apparel"/>
        <s v="Home Goods"/>
        <s v="Books"/>
        <s v="Food"/>
      </sharedItems>
    </cacheField>
    <cacheField name="ProductName" numFmtId="0">
      <sharedItems count="18">
        <s v="Laptop Pro"/>
        <s v="T-Shirt (Large)"/>
        <s v="Coffee Maker"/>
        <s v="Sci-Fi Novel"/>
        <s v="Organic Snacks"/>
        <s v="Wireless Earbuds"/>
        <s v="Jeans (Size 32)"/>
        <s v="Blender"/>
        <s v="History Textbook"/>
        <s v="Smartwatch"/>
        <s v="Gourmet Coffee"/>
        <s v="Winter Coat"/>
        <s v="Vacuum Cleaner"/>
        <s v="Gaming Console"/>
        <s v="Self-Help Guide"/>
        <s v="RmoCom"/>
        <s v="Summer wear"/>
        <s v="Dispenser"/>
      </sharedItems>
    </cacheField>
    <cacheField name="UnitsSold" numFmtId="0">
      <sharedItems containsSemiMixedTypes="0" containsString="0" containsNumber="1" containsInteger="1" minValue="1" maxValue="10"/>
    </cacheField>
    <cacheField name="UnitPrice" numFmtId="0">
      <sharedItems containsSemiMixedTypes="0" containsString="0" containsNumber="1" containsInteger="1" minValue="5" maxValue="850"/>
    </cacheField>
    <cacheField name="Discount" numFmtId="0">
      <sharedItems containsSemiMixedTypes="0" containsString="0" containsNumber="1" minValue="0" maxValue="0.15"/>
    </cacheField>
    <cacheField name="Salesperson" numFmtId="0">
      <sharedItems count="5">
        <s v="Alice"/>
        <s v="Bob"/>
        <s v="Charlie"/>
        <s v="David"/>
        <s v="Eve"/>
      </sharedItems>
    </cacheField>
    <cacheField name="PaymentMethod" numFmtId="0">
      <sharedItems count="4">
        <s v="Credit Card"/>
        <s v="Cash"/>
        <s v="UPI"/>
        <s v="Bank Transfer"/>
      </sharedItems>
    </cacheField>
    <cacheField name="NeT Sales" numFmtId="0">
      <sharedItems containsSemiMixedTypes="0" containsString="0" containsNumber="1" minValue="10" maxValue="1615" count="25">
        <n v="1615"/>
        <n v="125"/>
        <n v="108"/>
        <n v="45"/>
        <n v="50"/>
        <n v="94.05"/>
        <n v="120"/>
        <n v="59.5"/>
        <n v="40"/>
        <n v="250"/>
        <n v="135"/>
        <n v="285"/>
        <n v="400"/>
        <n v="36"/>
        <n v="1200"/>
        <n v="13.5"/>
        <n v="10"/>
        <n v="99"/>
        <n v="57"/>
        <n v="70"/>
        <n v="68"/>
        <n v="20"/>
        <n v="150"/>
        <n v="810"/>
        <n v="85.5"/>
      </sharedItems>
    </cacheField>
    <cacheField name="Order_Month" numFmtId="0">
      <sharedItems count="4">
        <s v="January"/>
        <s v="February"/>
        <s v="March"/>
        <s v="April"/>
      </sharedItems>
    </cacheField>
    <cacheField name="Order_Year" numFmtId="0">
      <sharedItems/>
    </cacheField>
    <cacheField name="CustomerLoyaltyStatus" numFmtId="0">
      <sharedItems count="4">
        <s v="Platinum"/>
        <s v="Silver"/>
        <s v="Gold"/>
        <s v="Bronze"/>
      </sharedItems>
    </cacheField>
    <cacheField name="CustomerCity" numFmtId="0">
      <sharedItems containsMixedTypes="1" containsNumber="1" containsInteger="1" minValue="0" maxValue="0"/>
    </cacheField>
    <cacheField name="Days (OrderDate)" numFmtId="0" databaseField="0">
      <fieldGroup base="1">
        <rangePr groupBy="days" startDate="2023-01-15T00:00:00" endDate="2023-04-11T00:00:00"/>
        <groupItems count="368">
          <s v="&lt;15/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3"/>
        </groupItems>
      </fieldGroup>
    </cacheField>
    <cacheField name="Months (OrderDate)" numFmtId="0" databaseField="0">
      <fieldGroup base="1">
        <rangePr groupBy="months" startDate="2023-01-15T00:00:00" endDate="2023-04-11T00:00:00"/>
        <groupItems count="14">
          <s v="&lt;15/01/23"/>
          <s v="Jan"/>
          <s v="Feb"/>
          <s v="Mar"/>
          <s v="Apr"/>
          <s v="May"/>
          <s v="Jun"/>
          <s v="Jul"/>
          <s v="Aug"/>
          <s v="Sep"/>
          <s v="Oct"/>
          <s v="Nov"/>
          <s v="Dec"/>
          <s v="&gt;11/04/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na Roy" refreshedDate="45812.934776736111" createdVersion="8" refreshedVersion="8" minRefreshableVersion="3" recordCount="28" xr:uid="{3917BD7F-46D6-ED47-B3FA-A729A3106BB4}">
  <cacheSource type="worksheet">
    <worksheetSource ref="A1:R29" sheet="sales"/>
  </cacheSource>
  <cacheFields count="18">
    <cacheField name="OrderID" numFmtId="0">
      <sharedItems/>
    </cacheField>
    <cacheField name="OrderDate" numFmtId="14">
      <sharedItems containsSemiMixedTypes="0" containsNonDate="0" containsDate="1" containsString="0" minDate="2023-01-15T00:00:00" maxDate="2023-04-11T00:00:00"/>
    </cacheField>
    <cacheField name="CustomerID" numFmtId="0">
      <sharedItems/>
    </cacheField>
    <cacheField name="CustomerName" numFmtId="0">
      <sharedItems/>
    </cacheField>
    <cacheField name="Region" numFmtId="0">
      <sharedItems count="5">
        <s v="North"/>
        <s v="South"/>
        <s v="East"/>
        <s v="West"/>
        <s v="Central"/>
      </sharedItems>
    </cacheField>
    <cacheField name="ProductCategory" numFmtId="0">
      <sharedItems count="5">
        <s v="Electronics"/>
        <s v="Apparel"/>
        <s v="Home Goods"/>
        <s v="Books"/>
        <s v="Food"/>
      </sharedItems>
    </cacheField>
    <cacheField name="ProductName" numFmtId="0">
      <sharedItems/>
    </cacheField>
    <cacheField name="UnitsSold" numFmtId="0">
      <sharedItems containsSemiMixedTypes="0" containsString="0" containsNumber="1" containsInteger="1" minValue="1" maxValue="10"/>
    </cacheField>
    <cacheField name="UnitPrice" numFmtId="0">
      <sharedItems containsSemiMixedTypes="0" containsString="0" containsNumber="1" containsInteger="1" minValue="5" maxValue="850"/>
    </cacheField>
    <cacheField name="Discount" numFmtId="0">
      <sharedItems containsSemiMixedTypes="0" containsString="0" containsNumber="1" minValue="0" maxValue="0.15"/>
    </cacheField>
    <cacheField name="Salesperson" numFmtId="0">
      <sharedItems count="5">
        <s v="Alice"/>
        <s v="Bob"/>
        <s v="Charlie"/>
        <s v="David"/>
        <s v="Eve"/>
      </sharedItems>
    </cacheField>
    <cacheField name="PaymentMethod" numFmtId="0">
      <sharedItems count="4">
        <s v="Credit Card"/>
        <s v="Cash"/>
        <s v="UPI"/>
        <s v="Bank Transfer"/>
      </sharedItems>
    </cacheField>
    <cacheField name="NeT Sales" numFmtId="0">
      <sharedItems containsSemiMixedTypes="0" containsString="0" containsNumber="1" minValue="10" maxValue="1615"/>
    </cacheField>
    <cacheField name="Order_Month" numFmtId="0">
      <sharedItems count="4">
        <s v="January"/>
        <s v="February"/>
        <s v="March"/>
        <s v="April"/>
      </sharedItems>
    </cacheField>
    <cacheField name="Order_Year" numFmtId="0">
      <sharedItems/>
    </cacheField>
    <cacheField name="CustomerLoyaltyStatus" numFmtId="0">
      <sharedItems/>
    </cacheField>
    <cacheField name="CustomerCity" numFmtId="0">
      <sharedItems containsMixedTypes="1" containsNumber="1" containsInteger="1" minValue="0" maxValue="0"/>
    </cacheField>
    <cacheField name="Order_Quarter" numFmtId="0">
      <sharedItems count="2">
        <s v="Q1 - 2023"/>
        <s v="Q2 - 202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s v="GM-0001"/>
    <x v="0"/>
    <s v="CUST-001"/>
    <s v="Sarah Chen"/>
    <x v="0"/>
    <x v="0"/>
    <x v="0"/>
    <n v="2"/>
    <n v="850"/>
    <n v="0.05"/>
    <x v="0"/>
    <x v="0"/>
    <x v="0"/>
    <x v="0"/>
    <s v="2023"/>
    <x v="0"/>
    <s v="Springfield"/>
  </r>
  <r>
    <s v="GM-0002"/>
    <x v="1"/>
    <s v="CUST-003"/>
    <s v="David Lee"/>
    <x v="1"/>
    <x v="1"/>
    <x v="1"/>
    <n v="5"/>
    <n v="25"/>
    <n v="0"/>
    <x v="1"/>
    <x v="1"/>
    <x v="1"/>
    <x v="0"/>
    <s v="2023"/>
    <x v="1"/>
    <s v="Lakeside"/>
  </r>
  <r>
    <s v="GM-0003"/>
    <x v="2"/>
    <s v="CUST-002"/>
    <s v="Emily White"/>
    <x v="2"/>
    <x v="2"/>
    <x v="2"/>
    <n v="1"/>
    <n v="120"/>
    <n v="0.1"/>
    <x v="2"/>
    <x v="2"/>
    <x v="2"/>
    <x v="0"/>
    <s v="2023"/>
    <x v="2"/>
    <s v="Rivertown"/>
  </r>
  <r>
    <s v="GM-0004"/>
    <x v="3"/>
    <s v="CUST-001"/>
    <s v="Sarah Chen"/>
    <x v="0"/>
    <x v="3"/>
    <x v="3"/>
    <n v="3"/>
    <n v="15"/>
    <n v="0"/>
    <x v="0"/>
    <x v="3"/>
    <x v="3"/>
    <x v="1"/>
    <s v="2023"/>
    <x v="0"/>
    <s v="Springfield"/>
  </r>
  <r>
    <s v="GM-0005"/>
    <x v="4"/>
    <s v="CUST-004"/>
    <s v="Michael Brown"/>
    <x v="3"/>
    <x v="4"/>
    <x v="4"/>
    <n v="10"/>
    <n v="5"/>
    <n v="0"/>
    <x v="3"/>
    <x v="0"/>
    <x v="4"/>
    <x v="1"/>
    <s v="2023"/>
    <x v="3"/>
    <s v="Hillside"/>
  </r>
  <r>
    <s v="GM-0006"/>
    <x v="5"/>
    <s v="CUST-005"/>
    <s v="Jessica Green"/>
    <x v="4"/>
    <x v="0"/>
    <x v="5"/>
    <n v="1"/>
    <n v="99"/>
    <n v="0.05"/>
    <x v="4"/>
    <x v="1"/>
    <x v="5"/>
    <x v="1"/>
    <s v="2023"/>
    <x v="2"/>
    <s v="Centralia"/>
  </r>
  <r>
    <s v="GM-0007"/>
    <x v="6"/>
    <s v="CUST-003"/>
    <s v="David Lee"/>
    <x v="1"/>
    <x v="1"/>
    <x v="6"/>
    <n v="2"/>
    <n v="60"/>
    <n v="0"/>
    <x v="1"/>
    <x v="2"/>
    <x v="6"/>
    <x v="1"/>
    <s v="2023"/>
    <x v="1"/>
    <s v="Lakeside"/>
  </r>
  <r>
    <s v="GM-0008"/>
    <x v="7"/>
    <s v="CUST-002"/>
    <s v="Emily White"/>
    <x v="2"/>
    <x v="2"/>
    <x v="7"/>
    <n v="1"/>
    <n v="70"/>
    <n v="0.15"/>
    <x v="2"/>
    <x v="0"/>
    <x v="7"/>
    <x v="2"/>
    <s v="2023"/>
    <x v="2"/>
    <s v="Rivertown"/>
  </r>
  <r>
    <s v="GM-0009"/>
    <x v="8"/>
    <s v="CUST-004"/>
    <s v="Michael Brown"/>
    <x v="3"/>
    <x v="3"/>
    <x v="8"/>
    <n v="1"/>
    <n v="40"/>
    <n v="0"/>
    <x v="3"/>
    <x v="3"/>
    <x v="8"/>
    <x v="2"/>
    <s v="2023"/>
    <x v="3"/>
    <s v="Hillside"/>
  </r>
  <r>
    <s v="GM-0010"/>
    <x v="9"/>
    <s v="CUST-001"/>
    <s v="Sarah Chen"/>
    <x v="0"/>
    <x v="0"/>
    <x v="9"/>
    <n v="1"/>
    <n v="250"/>
    <n v="0"/>
    <x v="0"/>
    <x v="2"/>
    <x v="9"/>
    <x v="2"/>
    <s v="2023"/>
    <x v="0"/>
    <s v="Springfield"/>
  </r>
  <r>
    <s v="GM-0011"/>
    <x v="10"/>
    <s v="CUST-006"/>
    <s v="Chris Taylor"/>
    <x v="1"/>
    <x v="4"/>
    <x v="10"/>
    <n v="2"/>
    <n v="20"/>
    <n v="0"/>
    <x v="1"/>
    <x v="1"/>
    <x v="8"/>
    <x v="2"/>
    <s v="2023"/>
    <x v="1"/>
    <s v="Oceanview"/>
  </r>
  <r>
    <s v="GM-0012"/>
    <x v="11"/>
    <s v="CUST-007"/>
    <s v="Olivia Davis"/>
    <x v="2"/>
    <x v="1"/>
    <x v="11"/>
    <n v="1"/>
    <n v="150"/>
    <n v="0.1"/>
    <x v="2"/>
    <x v="0"/>
    <x v="10"/>
    <x v="2"/>
    <s v="2023"/>
    <x v="3"/>
    <s v="Metroville"/>
  </r>
  <r>
    <s v="GM-0013"/>
    <x v="12"/>
    <s v="CUST-005"/>
    <s v="Jessica Green"/>
    <x v="4"/>
    <x v="2"/>
    <x v="12"/>
    <n v="1"/>
    <n v="300"/>
    <n v="0.05"/>
    <x v="4"/>
    <x v="3"/>
    <x v="11"/>
    <x v="3"/>
    <s v="2023"/>
    <x v="2"/>
    <s v="Centralia"/>
  </r>
  <r>
    <s v="GM-0014"/>
    <x v="13"/>
    <s v="CUST-008"/>
    <s v="Liam Wilson"/>
    <x v="0"/>
    <x v="0"/>
    <x v="13"/>
    <n v="1"/>
    <n v="400"/>
    <n v="0"/>
    <x v="0"/>
    <x v="0"/>
    <x v="12"/>
    <x v="3"/>
    <s v="2023"/>
    <x v="0"/>
    <s v="Springfield"/>
  </r>
  <r>
    <s v="GM-0015"/>
    <x v="14"/>
    <s v="CUST-006"/>
    <s v="Chris Taylor"/>
    <x v="1"/>
    <x v="3"/>
    <x v="14"/>
    <n v="2"/>
    <n v="18"/>
    <n v="0"/>
    <x v="1"/>
    <x v="2"/>
    <x v="13"/>
    <x v="3"/>
    <s v="2023"/>
    <x v="1"/>
    <s v="Oceanview"/>
  </r>
  <r>
    <s v="GM-0016"/>
    <x v="5"/>
    <s v="CUST-011"/>
    <s v="John"/>
    <x v="2"/>
    <x v="3"/>
    <x v="15"/>
    <n v="10"/>
    <n v="120"/>
    <n v="0"/>
    <x v="0"/>
    <x v="3"/>
    <x v="14"/>
    <x v="1"/>
    <s v="2023"/>
    <x v="2"/>
    <n v="0"/>
  </r>
  <r>
    <s v="GM-0017"/>
    <x v="6"/>
    <s v="CUST-012"/>
    <s v="Alice"/>
    <x v="0"/>
    <x v="4"/>
    <x v="6"/>
    <n v="1"/>
    <n v="15"/>
    <n v="0.1"/>
    <x v="3"/>
    <x v="0"/>
    <x v="15"/>
    <x v="1"/>
    <s v="2023"/>
    <x v="1"/>
    <n v="0"/>
  </r>
  <r>
    <s v="GM-0018"/>
    <x v="7"/>
    <s v="CUST-013"/>
    <s v="Charlie"/>
    <x v="3"/>
    <x v="0"/>
    <x v="7"/>
    <n v="2"/>
    <n v="5"/>
    <n v="0"/>
    <x v="4"/>
    <x v="1"/>
    <x v="16"/>
    <x v="2"/>
    <s v="2023"/>
    <x v="3"/>
    <n v="0"/>
  </r>
  <r>
    <s v="GM-0019"/>
    <x v="8"/>
    <s v="CUST-014"/>
    <s v="David"/>
    <x v="4"/>
    <x v="1"/>
    <x v="8"/>
    <n v="1"/>
    <n v="99"/>
    <n v="0"/>
    <x v="1"/>
    <x v="2"/>
    <x v="17"/>
    <x v="2"/>
    <s v="2023"/>
    <x v="0"/>
    <n v="0"/>
  </r>
  <r>
    <s v="GM-0020"/>
    <x v="15"/>
    <s v="CUST-015"/>
    <s v="Emily"/>
    <x v="1"/>
    <x v="2"/>
    <x v="9"/>
    <n v="1"/>
    <n v="60"/>
    <n v="0.05"/>
    <x v="2"/>
    <x v="0"/>
    <x v="18"/>
    <x v="2"/>
    <s v="2023"/>
    <x v="0"/>
    <n v="0"/>
  </r>
  <r>
    <s v="GM-0021"/>
    <x v="16"/>
    <s v="CUST-003"/>
    <s v="David Lee"/>
    <x v="2"/>
    <x v="3"/>
    <x v="10"/>
    <n v="1"/>
    <n v="70"/>
    <n v="0"/>
    <x v="3"/>
    <x v="3"/>
    <x v="19"/>
    <x v="2"/>
    <s v="2023"/>
    <x v="1"/>
    <s v="Lakeside"/>
  </r>
  <r>
    <s v="GM-0022"/>
    <x v="9"/>
    <s v="CUST-002"/>
    <s v="Emily White"/>
    <x v="3"/>
    <x v="0"/>
    <x v="11"/>
    <n v="2"/>
    <n v="40"/>
    <n v="0.15"/>
    <x v="0"/>
    <x v="2"/>
    <x v="20"/>
    <x v="2"/>
    <s v="2023"/>
    <x v="2"/>
    <s v="Rivertown"/>
  </r>
  <r>
    <s v="GM-0023"/>
    <x v="17"/>
    <s v="CUST-004"/>
    <s v="Michael Brown"/>
    <x v="0"/>
    <x v="4"/>
    <x v="12"/>
    <n v="1"/>
    <n v="250"/>
    <n v="0"/>
    <x v="1"/>
    <x v="1"/>
    <x v="9"/>
    <x v="2"/>
    <s v="2023"/>
    <x v="3"/>
    <s v="Hillside"/>
  </r>
  <r>
    <s v="GM-0024"/>
    <x v="10"/>
    <s v="CUST-015"/>
    <s v="Emily"/>
    <x v="1"/>
    <x v="1"/>
    <x v="13"/>
    <n v="1"/>
    <n v="20"/>
    <n v="0"/>
    <x v="2"/>
    <x v="0"/>
    <x v="21"/>
    <x v="2"/>
    <s v="2023"/>
    <x v="0"/>
    <n v="0"/>
  </r>
  <r>
    <s v="GM-0025"/>
    <x v="5"/>
    <s v="CUST-013"/>
    <s v="Charlie"/>
    <x v="2"/>
    <x v="2"/>
    <x v="14"/>
    <n v="1"/>
    <n v="150"/>
    <n v="0"/>
    <x v="4"/>
    <x v="3"/>
    <x v="22"/>
    <x v="1"/>
    <s v="2023"/>
    <x v="3"/>
    <n v="0"/>
  </r>
  <r>
    <s v="GM-0026"/>
    <x v="18"/>
    <s v="CUST-014"/>
    <s v="David"/>
    <x v="3"/>
    <x v="1"/>
    <x v="16"/>
    <n v="3"/>
    <n v="300"/>
    <n v="0.1"/>
    <x v="0"/>
    <x v="0"/>
    <x v="23"/>
    <x v="1"/>
    <s v="2023"/>
    <x v="0"/>
    <n v="0"/>
  </r>
  <r>
    <s v="GM-0027"/>
    <x v="6"/>
    <s v="CUST-015"/>
    <s v="Emily"/>
    <x v="0"/>
    <x v="2"/>
    <x v="17"/>
    <n v="6"/>
    <n v="15"/>
    <n v="0.05"/>
    <x v="1"/>
    <x v="2"/>
    <x v="24"/>
    <x v="1"/>
    <s v="2023"/>
    <x v="0"/>
    <n v="0"/>
  </r>
  <r>
    <s v="GM-0028"/>
    <x v="19"/>
    <s v="CUST-005"/>
    <s v="Jessica Green"/>
    <x v="1"/>
    <x v="3"/>
    <x v="3"/>
    <n v="4"/>
    <n v="5"/>
    <n v="0"/>
    <x v="4"/>
    <x v="1"/>
    <x v="21"/>
    <x v="1"/>
    <s v="2023"/>
    <x v="2"/>
    <s v="Centrali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s v="GM-0001"/>
    <d v="2023-01-15T00:00:00"/>
    <s v="CUST-001"/>
    <s v="Sarah Chen"/>
    <x v="0"/>
    <x v="0"/>
    <s v="Laptop Pro"/>
    <n v="2"/>
    <n v="850"/>
    <n v="0.05"/>
    <x v="0"/>
    <x v="0"/>
    <n v="1615"/>
    <x v="0"/>
    <s v="2023"/>
    <s v="Platinum"/>
    <s v="Springfield"/>
    <x v="0"/>
  </r>
  <r>
    <s v="GM-0002"/>
    <d v="2023-01-18T00:00:00"/>
    <s v="CUST-003"/>
    <s v="David Lee"/>
    <x v="1"/>
    <x v="1"/>
    <s v="T-Shirt (Large)"/>
    <n v="5"/>
    <n v="25"/>
    <n v="0"/>
    <x v="1"/>
    <x v="1"/>
    <n v="125"/>
    <x v="0"/>
    <s v="2023"/>
    <s v="Silver"/>
    <s v="Lakeside"/>
    <x v="0"/>
  </r>
  <r>
    <s v="GM-0003"/>
    <d v="2023-01-20T00:00:00"/>
    <s v="CUST-002"/>
    <s v="Emily White"/>
    <x v="2"/>
    <x v="2"/>
    <s v="Coffee Maker"/>
    <n v="1"/>
    <n v="120"/>
    <n v="0.1"/>
    <x v="2"/>
    <x v="2"/>
    <n v="108"/>
    <x v="0"/>
    <s v="2023"/>
    <s v="Gold"/>
    <s v="Rivertown"/>
    <x v="0"/>
  </r>
  <r>
    <s v="GM-0004"/>
    <d v="2023-02-01T00:00:00"/>
    <s v="CUST-001"/>
    <s v="Sarah Chen"/>
    <x v="0"/>
    <x v="3"/>
    <s v="Sci-Fi Novel"/>
    <n v="3"/>
    <n v="15"/>
    <n v="0"/>
    <x v="0"/>
    <x v="3"/>
    <n v="45"/>
    <x v="1"/>
    <s v="2023"/>
    <s v="Platinum"/>
    <s v="Springfield"/>
    <x v="0"/>
  </r>
  <r>
    <s v="GM-0005"/>
    <d v="2023-02-05T00:00:00"/>
    <s v="CUST-004"/>
    <s v="Michael Brown"/>
    <x v="3"/>
    <x v="4"/>
    <s v="Organic Snacks"/>
    <n v="10"/>
    <n v="5"/>
    <n v="0"/>
    <x v="3"/>
    <x v="0"/>
    <n v="50"/>
    <x v="1"/>
    <s v="2023"/>
    <s v="Bronze"/>
    <s v="Hillside"/>
    <x v="0"/>
  </r>
  <r>
    <s v="GM-0006"/>
    <d v="2023-02-10T00:00:00"/>
    <s v="CUST-005"/>
    <s v="Jessica Green"/>
    <x v="4"/>
    <x v="0"/>
    <s v="Wireless Earbuds"/>
    <n v="1"/>
    <n v="99"/>
    <n v="0.05"/>
    <x v="4"/>
    <x v="1"/>
    <n v="94.05"/>
    <x v="1"/>
    <s v="2023"/>
    <s v="Gold"/>
    <s v="Centralia"/>
    <x v="0"/>
  </r>
  <r>
    <s v="GM-0007"/>
    <d v="2023-02-12T00:00:00"/>
    <s v="CUST-003"/>
    <s v="David Lee"/>
    <x v="1"/>
    <x v="1"/>
    <s v="Jeans (Size 32)"/>
    <n v="2"/>
    <n v="60"/>
    <n v="0"/>
    <x v="1"/>
    <x v="2"/>
    <n v="120"/>
    <x v="1"/>
    <s v="2023"/>
    <s v="Silver"/>
    <s v="Lakeside"/>
    <x v="0"/>
  </r>
  <r>
    <s v="GM-0008"/>
    <d v="2023-03-01T00:00:00"/>
    <s v="CUST-002"/>
    <s v="Emily White"/>
    <x v="2"/>
    <x v="2"/>
    <s v="Blender"/>
    <n v="1"/>
    <n v="70"/>
    <n v="0.15"/>
    <x v="2"/>
    <x v="0"/>
    <n v="59.5"/>
    <x v="2"/>
    <s v="2023"/>
    <s v="Gold"/>
    <s v="Rivertown"/>
    <x v="0"/>
  </r>
  <r>
    <s v="GM-0009"/>
    <d v="2023-03-05T00:00:00"/>
    <s v="CUST-004"/>
    <s v="Michael Brown"/>
    <x v="3"/>
    <x v="3"/>
    <s v="History Textbook"/>
    <n v="1"/>
    <n v="40"/>
    <n v="0"/>
    <x v="3"/>
    <x v="3"/>
    <n v="40"/>
    <x v="2"/>
    <s v="2023"/>
    <s v="Bronze"/>
    <s v="Hillside"/>
    <x v="0"/>
  </r>
  <r>
    <s v="GM-0010"/>
    <d v="2023-03-08T00:00:00"/>
    <s v="CUST-001"/>
    <s v="Sarah Chen"/>
    <x v="0"/>
    <x v="0"/>
    <s v="Smartwatch"/>
    <n v="1"/>
    <n v="250"/>
    <n v="0"/>
    <x v="0"/>
    <x v="2"/>
    <n v="250"/>
    <x v="2"/>
    <s v="2023"/>
    <s v="Platinum"/>
    <s v="Springfield"/>
    <x v="0"/>
  </r>
  <r>
    <s v="GM-0011"/>
    <d v="2023-03-10T00:00:00"/>
    <s v="CUST-006"/>
    <s v="Chris Taylor"/>
    <x v="1"/>
    <x v="4"/>
    <s v="Gourmet Coffee"/>
    <n v="2"/>
    <n v="20"/>
    <n v="0"/>
    <x v="1"/>
    <x v="1"/>
    <n v="40"/>
    <x v="2"/>
    <s v="2023"/>
    <s v="Silver"/>
    <s v="Oceanview"/>
    <x v="0"/>
  </r>
  <r>
    <s v="GM-0012"/>
    <d v="2023-03-15T00:00:00"/>
    <s v="CUST-007"/>
    <s v="Olivia Davis"/>
    <x v="2"/>
    <x v="1"/>
    <s v="Winter Coat"/>
    <n v="1"/>
    <n v="150"/>
    <n v="0.1"/>
    <x v="2"/>
    <x v="0"/>
    <n v="135"/>
    <x v="2"/>
    <s v="2023"/>
    <s v="Bronze"/>
    <s v="Metroville"/>
    <x v="0"/>
  </r>
  <r>
    <s v="GM-0013"/>
    <d v="2023-04-01T00:00:00"/>
    <s v="CUST-005"/>
    <s v="Jessica Green"/>
    <x v="4"/>
    <x v="2"/>
    <s v="Vacuum Cleaner"/>
    <n v="1"/>
    <n v="300"/>
    <n v="0.05"/>
    <x v="4"/>
    <x v="3"/>
    <n v="285"/>
    <x v="3"/>
    <s v="2023"/>
    <s v="Gold"/>
    <s v="Centralia"/>
    <x v="1"/>
  </r>
  <r>
    <s v="GM-0014"/>
    <d v="2023-04-05T00:00:00"/>
    <s v="CUST-008"/>
    <s v="Liam Wilson"/>
    <x v="0"/>
    <x v="0"/>
    <s v="Gaming Console"/>
    <n v="1"/>
    <n v="400"/>
    <n v="0"/>
    <x v="0"/>
    <x v="0"/>
    <n v="400"/>
    <x v="3"/>
    <s v="2023"/>
    <s v="Platinum"/>
    <s v="Springfield"/>
    <x v="1"/>
  </r>
  <r>
    <s v="GM-0015"/>
    <d v="2023-04-10T00:00:00"/>
    <s v="CUST-006"/>
    <s v="Chris Taylor"/>
    <x v="1"/>
    <x v="3"/>
    <s v="Self-Help Guide"/>
    <n v="2"/>
    <n v="18"/>
    <n v="0"/>
    <x v="1"/>
    <x v="2"/>
    <n v="36"/>
    <x v="3"/>
    <s v="2023"/>
    <s v="Silver"/>
    <s v="Oceanview"/>
    <x v="1"/>
  </r>
  <r>
    <s v="GM-0016"/>
    <d v="2023-02-10T00:00:00"/>
    <s v="CUST-011"/>
    <s v="John"/>
    <x v="2"/>
    <x v="3"/>
    <s v="RmoCom"/>
    <n v="10"/>
    <n v="120"/>
    <n v="0"/>
    <x v="0"/>
    <x v="3"/>
    <n v="1200"/>
    <x v="1"/>
    <s v="2023"/>
    <s v="Gold"/>
    <n v="0"/>
    <x v="0"/>
  </r>
  <r>
    <s v="GM-0017"/>
    <d v="2023-02-12T00:00:00"/>
    <s v="CUST-012"/>
    <s v="Alice"/>
    <x v="0"/>
    <x v="4"/>
    <s v="Jeans (Size 32)"/>
    <n v="1"/>
    <n v="15"/>
    <n v="0.1"/>
    <x v="3"/>
    <x v="0"/>
    <n v="13.5"/>
    <x v="1"/>
    <s v="2023"/>
    <s v="Silver"/>
    <n v="0"/>
    <x v="0"/>
  </r>
  <r>
    <s v="GM-0018"/>
    <d v="2023-03-01T00:00:00"/>
    <s v="CUST-013"/>
    <s v="Charlie"/>
    <x v="3"/>
    <x v="0"/>
    <s v="Blender"/>
    <n v="2"/>
    <n v="5"/>
    <n v="0"/>
    <x v="4"/>
    <x v="1"/>
    <n v="10"/>
    <x v="2"/>
    <s v="2023"/>
    <s v="Bronze"/>
    <n v="0"/>
    <x v="0"/>
  </r>
  <r>
    <s v="GM-0019"/>
    <d v="2023-03-05T00:00:00"/>
    <s v="CUST-014"/>
    <s v="David"/>
    <x v="4"/>
    <x v="1"/>
    <s v="History Textbook"/>
    <n v="1"/>
    <n v="99"/>
    <n v="0"/>
    <x v="1"/>
    <x v="2"/>
    <n v="99"/>
    <x v="2"/>
    <s v="2023"/>
    <s v="Platinum"/>
    <n v="0"/>
    <x v="0"/>
  </r>
  <r>
    <s v="GM-0020"/>
    <d v="2023-03-06T00:00:00"/>
    <s v="CUST-015"/>
    <s v="Emily"/>
    <x v="1"/>
    <x v="2"/>
    <s v="Smartwatch"/>
    <n v="1"/>
    <n v="60"/>
    <n v="0.05"/>
    <x v="2"/>
    <x v="0"/>
    <n v="57"/>
    <x v="2"/>
    <s v="2023"/>
    <s v="Platinum"/>
    <n v="0"/>
    <x v="0"/>
  </r>
  <r>
    <s v="GM-0021"/>
    <d v="2023-03-07T00:00:00"/>
    <s v="CUST-003"/>
    <s v="David Lee"/>
    <x v="2"/>
    <x v="3"/>
    <s v="Gourmet Coffee"/>
    <n v="1"/>
    <n v="70"/>
    <n v="0"/>
    <x v="3"/>
    <x v="3"/>
    <n v="70"/>
    <x v="2"/>
    <s v="2023"/>
    <s v="Silver"/>
    <s v="Lakeside"/>
    <x v="0"/>
  </r>
  <r>
    <s v="GM-0022"/>
    <d v="2023-03-08T00:00:00"/>
    <s v="CUST-002"/>
    <s v="Emily White"/>
    <x v="3"/>
    <x v="0"/>
    <s v="Winter Coat"/>
    <n v="2"/>
    <n v="40"/>
    <n v="0.15"/>
    <x v="0"/>
    <x v="2"/>
    <n v="68"/>
    <x v="2"/>
    <s v="2023"/>
    <s v="Gold"/>
    <s v="Rivertown"/>
    <x v="0"/>
  </r>
  <r>
    <s v="GM-0023"/>
    <d v="2023-03-09T00:00:00"/>
    <s v="CUST-004"/>
    <s v="Michael Brown"/>
    <x v="0"/>
    <x v="4"/>
    <s v="Vacuum Cleaner"/>
    <n v="1"/>
    <n v="250"/>
    <n v="0"/>
    <x v="1"/>
    <x v="1"/>
    <n v="250"/>
    <x v="2"/>
    <s v="2023"/>
    <s v="Bronze"/>
    <s v="Hillside"/>
    <x v="0"/>
  </r>
  <r>
    <s v="GM-0024"/>
    <d v="2023-03-10T00:00:00"/>
    <s v="CUST-015"/>
    <s v="Emily"/>
    <x v="1"/>
    <x v="1"/>
    <s v="Gaming Console"/>
    <n v="1"/>
    <n v="20"/>
    <n v="0"/>
    <x v="2"/>
    <x v="0"/>
    <n v="20"/>
    <x v="2"/>
    <s v="2023"/>
    <s v="Platinum"/>
    <n v="0"/>
    <x v="0"/>
  </r>
  <r>
    <s v="GM-0025"/>
    <d v="2023-02-10T00:00:00"/>
    <s v="CUST-013"/>
    <s v="Charlie"/>
    <x v="2"/>
    <x v="2"/>
    <s v="Self-Help Guide"/>
    <n v="1"/>
    <n v="150"/>
    <n v="0"/>
    <x v="4"/>
    <x v="3"/>
    <n v="150"/>
    <x v="1"/>
    <s v="2023"/>
    <s v="Bronze"/>
    <n v="0"/>
    <x v="0"/>
  </r>
  <r>
    <s v="GM-0026"/>
    <d v="2023-02-11T00:00:00"/>
    <s v="CUST-014"/>
    <s v="David"/>
    <x v="3"/>
    <x v="1"/>
    <s v="Summer wear"/>
    <n v="3"/>
    <n v="300"/>
    <n v="0.1"/>
    <x v="0"/>
    <x v="0"/>
    <n v="810"/>
    <x v="1"/>
    <s v="2023"/>
    <s v="Platinum"/>
    <n v="0"/>
    <x v="0"/>
  </r>
  <r>
    <s v="GM-0027"/>
    <d v="2023-02-12T00:00:00"/>
    <s v="CUST-015"/>
    <s v="Emily"/>
    <x v="0"/>
    <x v="2"/>
    <s v="Dispenser"/>
    <n v="6"/>
    <n v="15"/>
    <n v="0.05"/>
    <x v="1"/>
    <x v="2"/>
    <n v="85.5"/>
    <x v="1"/>
    <s v="2023"/>
    <s v="Platinum"/>
    <n v="0"/>
    <x v="0"/>
  </r>
  <r>
    <s v="GM-0028"/>
    <d v="2023-02-13T00:00:00"/>
    <s v="CUST-005"/>
    <s v="Jessica Green"/>
    <x v="1"/>
    <x v="3"/>
    <s v="Sci-Fi Novel"/>
    <n v="4"/>
    <n v="5"/>
    <n v="0"/>
    <x v="4"/>
    <x v="1"/>
    <n v="20"/>
    <x v="1"/>
    <s v="2023"/>
    <s v="Gold"/>
    <s v="Centrali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053E1B-D32A-E941-836E-A2FF38DCE3C0}" name="PivotTable1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G83" firstHeaderRow="1" firstDataRow="2" firstDataCol="1"/>
  <pivotFields count="18">
    <pivotField showAll="0"/>
    <pivotField numFmtId="14" showAll="0"/>
    <pivotField showAll="0"/>
    <pivotField showAll="0"/>
    <pivotField showAll="0">
      <items count="6">
        <item x="4"/>
        <item x="2"/>
        <item x="0"/>
        <item x="1"/>
        <item x="3"/>
        <item t="default"/>
      </items>
    </pivotField>
    <pivotField axis="axisCol" showAll="0">
      <items count="6">
        <item x="1"/>
        <item x="3"/>
        <item x="0"/>
        <item x="4"/>
        <item x="2"/>
        <item t="default"/>
      </items>
    </pivotField>
    <pivotField showAll="0"/>
    <pivotField dataField="1" showAll="0"/>
    <pivotField showAll="0"/>
    <pivotField showAll="0"/>
    <pivotField showAll="0">
      <items count="6">
        <item x="0"/>
        <item x="1"/>
        <item x="2"/>
        <item x="3"/>
        <item x="4"/>
        <item t="default"/>
      </items>
    </pivotField>
    <pivotField showAll="0">
      <items count="5">
        <item x="3"/>
        <item x="1"/>
        <item x="0"/>
        <item x="2"/>
        <item t="default"/>
      </items>
    </pivotField>
    <pivotField showAll="0"/>
    <pivotField axis="axisRow" showAll="0">
      <items count="5">
        <item x="0"/>
        <item x="1"/>
        <item x="2"/>
        <item x="3"/>
        <item t="default"/>
      </items>
    </pivotField>
    <pivotField showAll="0"/>
    <pivotField showAll="0"/>
    <pivotField showAll="0"/>
    <pivotField showAll="0"/>
  </pivotFields>
  <rowFields count="1">
    <field x="13"/>
  </rowFields>
  <rowItems count="5">
    <i>
      <x/>
    </i>
    <i>
      <x v="1"/>
    </i>
    <i>
      <x v="2"/>
    </i>
    <i>
      <x v="3"/>
    </i>
    <i t="grand">
      <x/>
    </i>
  </rowItems>
  <colFields count="1">
    <field x="5"/>
  </colFields>
  <colItems count="6">
    <i>
      <x/>
    </i>
    <i>
      <x v="1"/>
    </i>
    <i>
      <x v="2"/>
    </i>
    <i>
      <x v="3"/>
    </i>
    <i>
      <x v="4"/>
    </i>
    <i t="grand">
      <x/>
    </i>
  </colItems>
  <dataFields count="1">
    <dataField name="Sum of Units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8B5607-DAEF-474B-B0C8-F43CBD7D8889}" name="PivotTable1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0:P47" firstHeaderRow="1" firstDataRow="2" firstDataCol="1"/>
  <pivotFields count="19">
    <pivotField dataField="1" showAll="0"/>
    <pivotField numFmtId="14" showAll="0">
      <items count="21">
        <item x="0"/>
        <item x="1"/>
        <item x="2"/>
        <item x="3"/>
        <item x="4"/>
        <item x="5"/>
        <item x="18"/>
        <item x="6"/>
        <item x="19"/>
        <item x="7"/>
        <item x="8"/>
        <item x="15"/>
        <item x="16"/>
        <item x="9"/>
        <item x="17"/>
        <item x="10"/>
        <item x="11"/>
        <item x="12"/>
        <item x="13"/>
        <item x="14"/>
        <item t="default"/>
      </items>
    </pivotField>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axis="axisCol" showAll="0">
      <items count="5">
        <item x="3"/>
        <item x="1"/>
        <item x="0"/>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Fields count="1">
    <field x="11"/>
  </colFields>
  <colItems count="5">
    <i>
      <x/>
    </i>
    <i>
      <x v="1"/>
    </i>
    <i>
      <x v="2"/>
    </i>
    <i>
      <x v="3"/>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A76DAA-AFE0-0E45-A092-06B52813D52B}" name="PivotTable1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5:H60" firstHeaderRow="1" firstDataRow="1" firstDataCol="1"/>
  <pivotFields count="19">
    <pivotField showAll="0"/>
    <pivotField numFmtId="14" showAll="0">
      <items count="21">
        <item x="0"/>
        <item x="1"/>
        <item x="2"/>
        <item x="3"/>
        <item x="4"/>
        <item x="5"/>
        <item x="18"/>
        <item x="6"/>
        <item x="19"/>
        <item x="7"/>
        <item x="8"/>
        <item x="15"/>
        <item x="16"/>
        <item x="9"/>
        <item x="17"/>
        <item x="10"/>
        <item x="11"/>
        <item x="12"/>
        <item x="13"/>
        <item x="14"/>
        <item t="default"/>
      </items>
    </pivotField>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items count="5">
        <item x="3"/>
        <item x="1"/>
        <item x="0"/>
        <item x="2"/>
        <item t="default"/>
      </items>
    </pivotField>
    <pivotField dataField="1" showAll="0"/>
    <pivotField showAll="0"/>
    <pivotField showAll="0"/>
    <pivotField axis="axisRow" showAll="0">
      <items count="5">
        <item x="3"/>
        <item x="2"/>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Items count="1">
    <i/>
  </colItems>
  <dataFields count="1">
    <dataField name="Sum of NeT Sales" fld="12"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4DEFF5-6509-BF4E-8A07-6FD414AF4314}" name="PivotTable1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9:H52" firstHeaderRow="1" firstDataRow="1" firstDataCol="1"/>
  <pivotFields count="18">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3">
        <item x="0"/>
        <item x="1"/>
        <item t="default"/>
      </items>
    </pivotField>
  </pivotFields>
  <rowFields count="1">
    <field x="17"/>
  </rowFields>
  <rowItems count="3">
    <i>
      <x/>
    </i>
    <i>
      <x v="1"/>
    </i>
    <i t="grand">
      <x/>
    </i>
  </rowItems>
  <colItems count="1">
    <i/>
  </colItems>
  <dataFields count="1">
    <dataField name="Sum of NeT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021AB0-3EEB-7045-BB70-771101391E87}" name="PivotTable1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0:H46" firstHeaderRow="1" firstDataRow="1" firstDataCol="1"/>
  <pivotFields count="19">
    <pivotField showAll="0"/>
    <pivotField numFmtId="14" showAll="0">
      <items count="21">
        <item x="0"/>
        <item x="1"/>
        <item x="2"/>
        <item x="3"/>
        <item x="4"/>
        <item x="5"/>
        <item x="18"/>
        <item x="6"/>
        <item x="19"/>
        <item x="7"/>
        <item x="8"/>
        <item x="15"/>
        <item x="16"/>
        <item x="9"/>
        <item x="17"/>
        <item x="10"/>
        <item x="11"/>
        <item x="12"/>
        <item x="13"/>
        <item x="14"/>
        <item t="default"/>
      </items>
    </pivotField>
    <pivotField showAll="0"/>
    <pivotField showAll="0"/>
    <pivotField showAll="0"/>
    <pivotField showAll="0"/>
    <pivotField axis="axisRow" showAll="0" measureFilter="1">
      <items count="19">
        <item x="7"/>
        <item x="2"/>
        <item x="17"/>
        <item x="13"/>
        <item x="10"/>
        <item x="8"/>
        <item x="6"/>
        <item x="0"/>
        <item x="4"/>
        <item x="15"/>
        <item x="3"/>
        <item x="14"/>
        <item x="9"/>
        <item x="16"/>
        <item x="1"/>
        <item x="12"/>
        <item x="11"/>
        <item x="5"/>
        <item t="default"/>
      </items>
    </pivotField>
    <pivotField showAll="0"/>
    <pivotField showAll="0"/>
    <pivotField showAll="0"/>
    <pivotField showAll="0">
      <items count="6">
        <item x="0"/>
        <item x="1"/>
        <item x="2"/>
        <item x="3"/>
        <item x="4"/>
        <item t="default"/>
      </items>
    </pivotField>
    <pivotField showAll="0">
      <items count="5">
        <item x="3"/>
        <item x="1"/>
        <item x="0"/>
        <item x="2"/>
        <item t="default"/>
      </items>
    </pivotField>
    <pivotField dataField="1" showAll="0">
      <items count="26">
        <item x="16"/>
        <item x="15"/>
        <item x="21"/>
        <item x="13"/>
        <item x="8"/>
        <item x="3"/>
        <item x="4"/>
        <item x="18"/>
        <item x="7"/>
        <item x="20"/>
        <item x="19"/>
        <item x="24"/>
        <item x="5"/>
        <item x="17"/>
        <item x="2"/>
        <item x="6"/>
        <item x="1"/>
        <item x="10"/>
        <item x="22"/>
        <item x="9"/>
        <item x="11"/>
        <item x="12"/>
        <item x="23"/>
        <item x="14"/>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3"/>
    </i>
    <i>
      <x v="7"/>
    </i>
    <i>
      <x v="9"/>
    </i>
    <i>
      <x v="13"/>
    </i>
    <i>
      <x v="15"/>
    </i>
    <i t="grand">
      <x/>
    </i>
  </rowItems>
  <colItems count="1">
    <i/>
  </colItems>
  <dataFields count="1">
    <dataField name="Sum of NeT Sales" fld="12" baseField="0" baseItem="0"/>
  </dataField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72EC61-5C24-C145-B06F-2355A3EDBB18}"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9:E70" firstHeaderRow="1" firstDataRow="1" firstDataCol="1"/>
  <pivotFields count="19">
    <pivotField showAll="0"/>
    <pivotField numFmtId="14" showAll="0">
      <items count="21">
        <item x="0"/>
        <item x="1"/>
        <item x="2"/>
        <item x="3"/>
        <item x="4"/>
        <item x="5"/>
        <item x="18"/>
        <item x="6"/>
        <item x="19"/>
        <item x="7"/>
        <item x="8"/>
        <item x="15"/>
        <item x="16"/>
        <item x="9"/>
        <item x="17"/>
        <item x="10"/>
        <item x="11"/>
        <item x="12"/>
        <item x="13"/>
        <item x="14"/>
        <item t="default"/>
      </items>
    </pivotField>
    <pivotField showAll="0"/>
    <pivotField showAll="0"/>
    <pivotField showAll="0"/>
    <pivotField axis="axisRow" showAll="0">
      <items count="6">
        <item x="1"/>
        <item x="3"/>
        <item x="0"/>
        <item x="4"/>
        <item x="2"/>
        <item t="default"/>
      </items>
    </pivotField>
    <pivotField showAll="0"/>
    <pivotField dataField="1" showAll="0"/>
    <pivotField showAll="0"/>
    <pivotField showAll="0"/>
    <pivotField showAll="0">
      <items count="6">
        <item x="0"/>
        <item x="1"/>
        <item x="2"/>
        <item x="3"/>
        <item x="4"/>
        <item t="default"/>
      </items>
    </pivotField>
    <pivotField showAll="0">
      <items count="5">
        <item x="3"/>
        <item x="1"/>
        <item x="0"/>
        <item x="2"/>
        <item t="default"/>
      </items>
    </pivotField>
    <pivotField showAll="0"/>
    <pivotField axis="axisRow" showAll="0">
      <items count="5">
        <item x="0"/>
        <item x="1"/>
        <item x="2"/>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3"/>
    <field x="5"/>
  </rowFields>
  <rowItems count="21">
    <i>
      <x/>
    </i>
    <i r="1">
      <x/>
    </i>
    <i r="1">
      <x v="2"/>
    </i>
    <i r="1">
      <x v="4"/>
    </i>
    <i>
      <x v="1"/>
    </i>
    <i r="1">
      <x/>
    </i>
    <i r="1">
      <x v="1"/>
    </i>
    <i r="1">
      <x v="2"/>
    </i>
    <i r="1">
      <x v="3"/>
    </i>
    <i r="1">
      <x v="4"/>
    </i>
    <i>
      <x v="2"/>
    </i>
    <i r="1">
      <x/>
    </i>
    <i r="1">
      <x v="1"/>
    </i>
    <i r="1">
      <x v="2"/>
    </i>
    <i r="1">
      <x v="3"/>
    </i>
    <i r="1">
      <x v="4"/>
    </i>
    <i>
      <x v="3"/>
    </i>
    <i r="1">
      <x v="1"/>
    </i>
    <i r="1">
      <x v="2"/>
    </i>
    <i r="1">
      <x v="4"/>
    </i>
    <i t="grand">
      <x/>
    </i>
  </rowItems>
  <colItems count="1">
    <i/>
  </colItems>
  <dataFields count="1">
    <dataField name="Sum of Units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F9883C-444C-EE48-8717-9A6BA3956B38}"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0:E45" firstHeaderRow="1" firstDataRow="1" firstDataCol="1"/>
  <pivotFields count="19">
    <pivotField showAll="0"/>
    <pivotField numFmtId="14" showAll="0">
      <items count="21">
        <item x="0"/>
        <item x="1"/>
        <item x="2"/>
        <item x="3"/>
        <item x="4"/>
        <item x="5"/>
        <item x="18"/>
        <item x="6"/>
        <item x="19"/>
        <item x="7"/>
        <item x="8"/>
        <item x="15"/>
        <item x="16"/>
        <item x="9"/>
        <item x="17"/>
        <item x="10"/>
        <item x="11"/>
        <item x="12"/>
        <item x="13"/>
        <item x="14"/>
        <item t="default"/>
      </items>
    </pivotField>
    <pivotField showAll="0"/>
    <pivotField showAll="0"/>
    <pivotField showAll="0"/>
    <pivotField showAll="0"/>
    <pivotField showAll="0"/>
    <pivotField showAll="0"/>
    <pivotField showAll="0"/>
    <pivotField showAll="0"/>
    <pivotField showAll="0">
      <items count="6">
        <item x="0"/>
        <item x="1"/>
        <item x="2"/>
        <item x="3"/>
        <item x="4"/>
        <item t="default"/>
      </items>
    </pivotField>
    <pivotField axis="axisRow" showAll="0">
      <items count="5">
        <item x="3"/>
        <item x="1"/>
        <item x="0"/>
        <item x="2"/>
        <item t="default"/>
      </items>
    </pivotField>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Items count="1">
    <i/>
  </colItems>
  <dataFields count="1">
    <dataField name="Average of NeT Sales"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19C0A7-560A-7541-B4FB-2EBD3042FD57}"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B73" firstHeaderRow="1" firstDataRow="1" firstDataCol="1"/>
  <pivotFields count="19">
    <pivotField showAll="0"/>
    <pivotField numFmtId="14" showAll="0">
      <items count="21">
        <item x="0"/>
        <item x="1"/>
        <item x="2"/>
        <item x="3"/>
        <item x="4"/>
        <item x="5"/>
        <item x="18"/>
        <item x="6"/>
        <item x="19"/>
        <item x="7"/>
        <item x="8"/>
        <item x="15"/>
        <item x="16"/>
        <item x="9"/>
        <item x="17"/>
        <item x="10"/>
        <item x="11"/>
        <item x="12"/>
        <item x="13"/>
        <item x="14"/>
        <item t="default"/>
      </items>
    </pivotField>
    <pivotField showAll="0"/>
    <pivotField showAll="0"/>
    <pivotField axis="axisRow" showAll="0">
      <items count="6">
        <item x="4"/>
        <item x="2"/>
        <item x="0"/>
        <item x="1"/>
        <item x="3"/>
        <item t="default"/>
      </items>
    </pivotField>
    <pivotField axis="axisRow" showAll="0">
      <items count="6">
        <item x="1"/>
        <item x="3"/>
        <item x="0"/>
        <item x="4"/>
        <item x="2"/>
        <item t="default"/>
      </items>
    </pivotField>
    <pivotField showAll="0"/>
    <pivotField showAll="0"/>
    <pivotField showAll="0"/>
    <pivotField showAll="0"/>
    <pivotField showAll="0">
      <items count="6">
        <item x="0"/>
        <item x="1"/>
        <item x="2"/>
        <item x="3"/>
        <item x="4"/>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5"/>
  </rowFields>
  <rowItems count="24">
    <i>
      <x/>
    </i>
    <i r="1">
      <x/>
    </i>
    <i r="1">
      <x v="2"/>
    </i>
    <i r="1">
      <x v="4"/>
    </i>
    <i>
      <x v="1"/>
    </i>
    <i r="1">
      <x/>
    </i>
    <i r="1">
      <x v="1"/>
    </i>
    <i r="1">
      <x v="4"/>
    </i>
    <i>
      <x v="2"/>
    </i>
    <i r="1">
      <x v="1"/>
    </i>
    <i r="1">
      <x v="2"/>
    </i>
    <i r="1">
      <x v="3"/>
    </i>
    <i r="1">
      <x v="4"/>
    </i>
    <i>
      <x v="3"/>
    </i>
    <i r="1">
      <x/>
    </i>
    <i r="1">
      <x v="1"/>
    </i>
    <i r="1">
      <x v="3"/>
    </i>
    <i r="1">
      <x v="4"/>
    </i>
    <i>
      <x v="4"/>
    </i>
    <i r="1">
      <x/>
    </i>
    <i r="1">
      <x v="1"/>
    </i>
    <i r="1">
      <x v="2"/>
    </i>
    <i r="1">
      <x v="3"/>
    </i>
    <i t="grand">
      <x/>
    </i>
  </rowItems>
  <colItems count="1">
    <i/>
  </colItems>
  <dataFields count="1">
    <dataField name="Sum of NeT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8FC891-8A65-2A45-8FD1-B81A3A0CD230}"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B46" firstHeaderRow="1" firstDataRow="1" firstDataCol="1"/>
  <pivotFields count="19">
    <pivotField showAll="0"/>
    <pivotField numFmtId="14" showAll="0">
      <items count="21">
        <item x="0"/>
        <item x="1"/>
        <item x="2"/>
        <item x="3"/>
        <item x="4"/>
        <item x="5"/>
        <item x="18"/>
        <item x="6"/>
        <item x="19"/>
        <item x="7"/>
        <item x="8"/>
        <item x="15"/>
        <item x="16"/>
        <item x="9"/>
        <item x="17"/>
        <item x="10"/>
        <item x="11"/>
        <item x="12"/>
        <item x="13"/>
        <item x="14"/>
        <item t="default"/>
      </items>
    </pivotField>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Sum of NeT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F64DC-26F9-754B-AAD7-CA3242183C90}">
  <dimension ref="A1:R38"/>
  <sheetViews>
    <sheetView topLeftCell="I1" zoomScale="111" workbookViewId="0">
      <selection activeCell="R2" sqref="R2"/>
    </sheetView>
  </sheetViews>
  <sheetFormatPr baseColWidth="10" defaultRowHeight="16" x14ac:dyDescent="0.2"/>
  <cols>
    <col min="1" max="1" width="14.1640625" bestFit="1" customWidth="1"/>
    <col min="2" max="2" width="16" bestFit="1" customWidth="1"/>
    <col min="13" max="13" width="13.33203125" bestFit="1" customWidth="1"/>
    <col min="14" max="14" width="12.5" customWidth="1"/>
    <col min="16" max="16" width="20.83203125" bestFit="1" customWidth="1"/>
    <col min="17" max="17" width="12.83203125" bestFit="1" customWidth="1"/>
    <col min="18" max="18" width="15.33203125"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160</v>
      </c>
      <c r="N1" s="1" t="s">
        <v>161</v>
      </c>
      <c r="O1" s="1" t="s">
        <v>162</v>
      </c>
      <c r="P1" s="6" t="s">
        <v>163</v>
      </c>
      <c r="Q1" s="6" t="s">
        <v>164</v>
      </c>
      <c r="R1" s="6" t="s">
        <v>182</v>
      </c>
    </row>
    <row r="2" spans="1:18" x14ac:dyDescent="0.2">
      <c r="A2" t="s">
        <v>12</v>
      </c>
      <c r="B2" s="2">
        <v>44941</v>
      </c>
      <c r="C2" t="s">
        <v>13</v>
      </c>
      <c r="D2" t="s">
        <v>14</v>
      </c>
      <c r="E2" t="s">
        <v>15</v>
      </c>
      <c r="F2" t="s">
        <v>16</v>
      </c>
      <c r="G2" t="s">
        <v>17</v>
      </c>
      <c r="H2">
        <v>2</v>
      </c>
      <c r="I2">
        <v>850</v>
      </c>
      <c r="J2">
        <v>0.05</v>
      </c>
      <c r="K2" t="s">
        <v>18</v>
      </c>
      <c r="L2" t="s">
        <v>19</v>
      </c>
      <c r="M2" s="35">
        <f>H2 * I2 * (1 - J2)</f>
        <v>1615</v>
      </c>
      <c r="N2" t="str">
        <f>TEXT(B2,"mmmm")</f>
        <v>January</v>
      </c>
      <c r="O2" t="str">
        <f>TEXT(B2,"yyyy")</f>
        <v>2023</v>
      </c>
      <c r="P2" t="str">
        <f>VLOOKUP(C2,customer!$A$1:$F$16,6,FALSE)</f>
        <v>Platinum</v>
      </c>
      <c r="Q2" t="str">
        <f>VLOOKUP(C2,customer!$A$1:$F$16,4,FALSE)</f>
        <v>Springfield</v>
      </c>
      <c r="R2" t="str">
        <f>CONCATENATE("Q",ROUNDUP(MONTH(B2)/3,0)," - ",YEAR(B2))</f>
        <v>Q1 - 2023</v>
      </c>
    </row>
    <row r="3" spans="1:18" x14ac:dyDescent="0.2">
      <c r="A3" t="s">
        <v>20</v>
      </c>
      <c r="B3" s="2">
        <v>44944</v>
      </c>
      <c r="C3" t="s">
        <v>21</v>
      </c>
      <c r="D3" t="s">
        <v>22</v>
      </c>
      <c r="E3" t="s">
        <v>23</v>
      </c>
      <c r="F3" t="s">
        <v>24</v>
      </c>
      <c r="G3" t="s">
        <v>25</v>
      </c>
      <c r="H3">
        <v>5</v>
      </c>
      <c r="I3">
        <v>25</v>
      </c>
      <c r="J3">
        <v>0</v>
      </c>
      <c r="K3" t="s">
        <v>26</v>
      </c>
      <c r="L3" t="s">
        <v>27</v>
      </c>
      <c r="M3" s="35">
        <f t="shared" ref="M3:M29" si="0">H3 * I3 * (1 - J3)</f>
        <v>125</v>
      </c>
      <c r="N3" t="str">
        <f t="shared" ref="N3:N29" si="1">TEXT(B3,"mmmm")</f>
        <v>January</v>
      </c>
      <c r="O3" t="str">
        <f t="shared" ref="O3:O29" si="2">TEXT(B3,"yyyy")</f>
        <v>2023</v>
      </c>
      <c r="P3" t="str">
        <f>VLOOKUP(C3,customer!$A$1:$F$16,6,FALSE)</f>
        <v>Silver</v>
      </c>
      <c r="Q3" t="str">
        <f>VLOOKUP(C3,customer!$A$1:$F$16,4,FALSE)</f>
        <v>Lakeside</v>
      </c>
      <c r="R3" t="str">
        <f t="shared" ref="R3:R29" si="3">CONCATENATE("Q",ROUNDUP(MONTH(B3)/3,0)," - ",YEAR(B3))</f>
        <v>Q1 - 2023</v>
      </c>
    </row>
    <row r="4" spans="1:18" x14ac:dyDescent="0.2">
      <c r="A4" t="s">
        <v>28</v>
      </c>
      <c r="B4" s="2">
        <v>44946</v>
      </c>
      <c r="C4" t="s">
        <v>29</v>
      </c>
      <c r="D4" t="s">
        <v>30</v>
      </c>
      <c r="E4" t="s">
        <v>31</v>
      </c>
      <c r="F4" t="s">
        <v>32</v>
      </c>
      <c r="G4" t="s">
        <v>33</v>
      </c>
      <c r="H4">
        <v>1</v>
      </c>
      <c r="I4">
        <v>120</v>
      </c>
      <c r="J4">
        <v>0.1</v>
      </c>
      <c r="K4" t="s">
        <v>34</v>
      </c>
      <c r="L4" t="s">
        <v>35</v>
      </c>
      <c r="M4" s="35">
        <f t="shared" si="0"/>
        <v>108</v>
      </c>
      <c r="N4" t="str">
        <f t="shared" si="1"/>
        <v>January</v>
      </c>
      <c r="O4" t="str">
        <f t="shared" si="2"/>
        <v>2023</v>
      </c>
      <c r="P4" t="str">
        <f>VLOOKUP(C4,customer!$A$1:$F$16,6,FALSE)</f>
        <v>Gold</v>
      </c>
      <c r="Q4" t="str">
        <f>VLOOKUP(C4,customer!$A$1:$F$16,4,FALSE)</f>
        <v>Rivertown</v>
      </c>
      <c r="R4" t="str">
        <f t="shared" si="3"/>
        <v>Q1 - 2023</v>
      </c>
    </row>
    <row r="5" spans="1:18" x14ac:dyDescent="0.2">
      <c r="A5" t="s">
        <v>36</v>
      </c>
      <c r="B5" s="2">
        <v>44958</v>
      </c>
      <c r="C5" t="s">
        <v>13</v>
      </c>
      <c r="D5" t="s">
        <v>14</v>
      </c>
      <c r="E5" t="s">
        <v>15</v>
      </c>
      <c r="F5" t="s">
        <v>37</v>
      </c>
      <c r="G5" t="s">
        <v>38</v>
      </c>
      <c r="H5">
        <v>3</v>
      </c>
      <c r="I5">
        <v>15</v>
      </c>
      <c r="J5">
        <v>0</v>
      </c>
      <c r="K5" t="s">
        <v>18</v>
      </c>
      <c r="L5" t="s">
        <v>39</v>
      </c>
      <c r="M5" s="35">
        <f t="shared" si="0"/>
        <v>45</v>
      </c>
      <c r="N5" t="str">
        <f t="shared" si="1"/>
        <v>February</v>
      </c>
      <c r="O5" t="str">
        <f t="shared" si="2"/>
        <v>2023</v>
      </c>
      <c r="P5" t="str">
        <f>VLOOKUP(C5,customer!$A$1:$F$16,6,FALSE)</f>
        <v>Platinum</v>
      </c>
      <c r="Q5" t="str">
        <f>VLOOKUP(C5,customer!$A$1:$F$16,4,FALSE)</f>
        <v>Springfield</v>
      </c>
      <c r="R5" t="str">
        <f t="shared" si="3"/>
        <v>Q1 - 2023</v>
      </c>
    </row>
    <row r="6" spans="1:18" x14ac:dyDescent="0.2">
      <c r="A6" t="s">
        <v>40</v>
      </c>
      <c r="B6" s="2">
        <v>44962</v>
      </c>
      <c r="C6" t="s">
        <v>41</v>
      </c>
      <c r="D6" t="s">
        <v>42</v>
      </c>
      <c r="E6" t="s">
        <v>43</v>
      </c>
      <c r="F6" t="s">
        <v>44</v>
      </c>
      <c r="G6" t="s">
        <v>45</v>
      </c>
      <c r="H6">
        <v>10</v>
      </c>
      <c r="I6">
        <v>5</v>
      </c>
      <c r="J6">
        <v>0</v>
      </c>
      <c r="K6" t="s">
        <v>46</v>
      </c>
      <c r="L6" t="s">
        <v>19</v>
      </c>
      <c r="M6" s="35">
        <f t="shared" si="0"/>
        <v>50</v>
      </c>
      <c r="N6" t="str">
        <f t="shared" si="1"/>
        <v>February</v>
      </c>
      <c r="O6" t="str">
        <f t="shared" si="2"/>
        <v>2023</v>
      </c>
      <c r="P6" t="str">
        <f>VLOOKUP(C6,customer!$A$1:$F$16,6,FALSE)</f>
        <v>Bronze</v>
      </c>
      <c r="Q6" t="str">
        <f>VLOOKUP(C6,customer!$A$1:$F$16,4,FALSE)</f>
        <v>Hillside</v>
      </c>
      <c r="R6" t="str">
        <f t="shared" si="3"/>
        <v>Q1 - 2023</v>
      </c>
    </row>
    <row r="7" spans="1:18" x14ac:dyDescent="0.2">
      <c r="A7" t="s">
        <v>47</v>
      </c>
      <c r="B7" s="2">
        <v>44967</v>
      </c>
      <c r="C7" t="s">
        <v>48</v>
      </c>
      <c r="D7" t="s">
        <v>49</v>
      </c>
      <c r="E7" t="s">
        <v>50</v>
      </c>
      <c r="F7" t="s">
        <v>16</v>
      </c>
      <c r="G7" t="s">
        <v>51</v>
      </c>
      <c r="H7">
        <v>1</v>
      </c>
      <c r="I7">
        <v>99</v>
      </c>
      <c r="J7">
        <v>0.05</v>
      </c>
      <c r="K7" t="s">
        <v>52</v>
      </c>
      <c r="L7" t="s">
        <v>27</v>
      </c>
      <c r="M7" s="35">
        <f t="shared" si="0"/>
        <v>94.05</v>
      </c>
      <c r="N7" t="str">
        <f t="shared" si="1"/>
        <v>February</v>
      </c>
      <c r="O7" t="str">
        <f t="shared" si="2"/>
        <v>2023</v>
      </c>
      <c r="P7" t="str">
        <f>VLOOKUP(C7,customer!$A$1:$F$16,6,FALSE)</f>
        <v>Gold</v>
      </c>
      <c r="Q7" t="str">
        <f>VLOOKUP(C7,customer!$A$1:$F$16,4,FALSE)</f>
        <v>Centralia</v>
      </c>
      <c r="R7" t="str">
        <f t="shared" si="3"/>
        <v>Q1 - 2023</v>
      </c>
    </row>
    <row r="8" spans="1:18" x14ac:dyDescent="0.2">
      <c r="A8" t="s">
        <v>53</v>
      </c>
      <c r="B8" s="2">
        <v>44969</v>
      </c>
      <c r="C8" t="s">
        <v>21</v>
      </c>
      <c r="D8" t="s">
        <v>22</v>
      </c>
      <c r="E8" t="s">
        <v>23</v>
      </c>
      <c r="F8" t="s">
        <v>24</v>
      </c>
      <c r="G8" t="s">
        <v>54</v>
      </c>
      <c r="H8">
        <v>2</v>
      </c>
      <c r="I8">
        <v>60</v>
      </c>
      <c r="J8">
        <v>0</v>
      </c>
      <c r="K8" t="s">
        <v>26</v>
      </c>
      <c r="L8" t="s">
        <v>35</v>
      </c>
      <c r="M8" s="35">
        <f t="shared" si="0"/>
        <v>120</v>
      </c>
      <c r="N8" t="str">
        <f t="shared" si="1"/>
        <v>February</v>
      </c>
      <c r="O8" t="str">
        <f t="shared" si="2"/>
        <v>2023</v>
      </c>
      <c r="P8" t="str">
        <f>VLOOKUP(C8,customer!$A$1:$F$16,6,FALSE)</f>
        <v>Silver</v>
      </c>
      <c r="Q8" t="str">
        <f>VLOOKUP(C8,customer!$A$1:$F$16,4,FALSE)</f>
        <v>Lakeside</v>
      </c>
      <c r="R8" t="str">
        <f t="shared" si="3"/>
        <v>Q1 - 2023</v>
      </c>
    </row>
    <row r="9" spans="1:18" x14ac:dyDescent="0.2">
      <c r="A9" t="s">
        <v>55</v>
      </c>
      <c r="B9" s="2">
        <v>44986</v>
      </c>
      <c r="C9" t="s">
        <v>29</v>
      </c>
      <c r="D9" t="s">
        <v>30</v>
      </c>
      <c r="E9" t="s">
        <v>31</v>
      </c>
      <c r="F9" t="s">
        <v>32</v>
      </c>
      <c r="G9" t="s">
        <v>56</v>
      </c>
      <c r="H9">
        <v>1</v>
      </c>
      <c r="I9">
        <v>70</v>
      </c>
      <c r="J9">
        <v>0.15</v>
      </c>
      <c r="K9" t="s">
        <v>34</v>
      </c>
      <c r="L9" t="s">
        <v>19</v>
      </c>
      <c r="M9" s="35">
        <f t="shared" si="0"/>
        <v>59.5</v>
      </c>
      <c r="N9" t="str">
        <f t="shared" si="1"/>
        <v>March</v>
      </c>
      <c r="O9" t="str">
        <f t="shared" si="2"/>
        <v>2023</v>
      </c>
      <c r="P9" t="str">
        <f>VLOOKUP(C9,customer!$A$1:$F$16,6,FALSE)</f>
        <v>Gold</v>
      </c>
      <c r="Q9" t="str">
        <f>VLOOKUP(C9,customer!$A$1:$F$16,4,FALSE)</f>
        <v>Rivertown</v>
      </c>
      <c r="R9" t="str">
        <f t="shared" si="3"/>
        <v>Q1 - 2023</v>
      </c>
    </row>
    <row r="10" spans="1:18" x14ac:dyDescent="0.2">
      <c r="A10" t="s">
        <v>57</v>
      </c>
      <c r="B10" s="2">
        <v>44990</v>
      </c>
      <c r="C10" t="s">
        <v>41</v>
      </c>
      <c r="D10" t="s">
        <v>42</v>
      </c>
      <c r="E10" t="s">
        <v>43</v>
      </c>
      <c r="F10" t="s">
        <v>37</v>
      </c>
      <c r="G10" t="s">
        <v>58</v>
      </c>
      <c r="H10">
        <v>1</v>
      </c>
      <c r="I10">
        <v>40</v>
      </c>
      <c r="J10">
        <v>0</v>
      </c>
      <c r="K10" t="s">
        <v>46</v>
      </c>
      <c r="L10" t="s">
        <v>39</v>
      </c>
      <c r="M10" s="35">
        <f t="shared" si="0"/>
        <v>40</v>
      </c>
      <c r="N10" t="str">
        <f t="shared" si="1"/>
        <v>March</v>
      </c>
      <c r="O10" t="str">
        <f t="shared" si="2"/>
        <v>2023</v>
      </c>
      <c r="P10" t="str">
        <f>VLOOKUP(C10,customer!$A$1:$F$16,6,FALSE)</f>
        <v>Bronze</v>
      </c>
      <c r="Q10" t="str">
        <f>VLOOKUP(C10,customer!$A$1:$F$16,4,FALSE)</f>
        <v>Hillside</v>
      </c>
      <c r="R10" t="str">
        <f t="shared" si="3"/>
        <v>Q1 - 2023</v>
      </c>
    </row>
    <row r="11" spans="1:18" x14ac:dyDescent="0.2">
      <c r="A11" t="s">
        <v>59</v>
      </c>
      <c r="B11" s="2">
        <v>44993</v>
      </c>
      <c r="C11" t="s">
        <v>13</v>
      </c>
      <c r="D11" t="s">
        <v>14</v>
      </c>
      <c r="E11" t="s">
        <v>15</v>
      </c>
      <c r="F11" t="s">
        <v>16</v>
      </c>
      <c r="G11" t="s">
        <v>60</v>
      </c>
      <c r="H11">
        <v>1</v>
      </c>
      <c r="I11">
        <v>250</v>
      </c>
      <c r="J11">
        <v>0</v>
      </c>
      <c r="K11" t="s">
        <v>18</v>
      </c>
      <c r="L11" t="s">
        <v>35</v>
      </c>
      <c r="M11" s="35">
        <f t="shared" si="0"/>
        <v>250</v>
      </c>
      <c r="N11" t="str">
        <f t="shared" si="1"/>
        <v>March</v>
      </c>
      <c r="O11" t="str">
        <f t="shared" si="2"/>
        <v>2023</v>
      </c>
      <c r="P11" t="str">
        <f>VLOOKUP(C11,customer!$A$1:$F$16,6,FALSE)</f>
        <v>Platinum</v>
      </c>
      <c r="Q11" t="str">
        <f>VLOOKUP(C11,customer!$A$1:$F$16,4,FALSE)</f>
        <v>Springfield</v>
      </c>
      <c r="R11" t="str">
        <f t="shared" si="3"/>
        <v>Q1 - 2023</v>
      </c>
    </row>
    <row r="12" spans="1:18" x14ac:dyDescent="0.2">
      <c r="A12" t="s">
        <v>61</v>
      </c>
      <c r="B12" s="2">
        <v>44995</v>
      </c>
      <c r="C12" t="s">
        <v>62</v>
      </c>
      <c r="D12" t="s">
        <v>63</v>
      </c>
      <c r="E12" t="s">
        <v>23</v>
      </c>
      <c r="F12" t="s">
        <v>44</v>
      </c>
      <c r="G12" t="s">
        <v>64</v>
      </c>
      <c r="H12">
        <v>2</v>
      </c>
      <c r="I12">
        <v>20</v>
      </c>
      <c r="J12">
        <v>0</v>
      </c>
      <c r="K12" t="s">
        <v>26</v>
      </c>
      <c r="L12" t="s">
        <v>27</v>
      </c>
      <c r="M12" s="35">
        <f t="shared" si="0"/>
        <v>40</v>
      </c>
      <c r="N12" t="str">
        <f t="shared" si="1"/>
        <v>March</v>
      </c>
      <c r="O12" t="str">
        <f t="shared" si="2"/>
        <v>2023</v>
      </c>
      <c r="P12" t="str">
        <f>VLOOKUP(C12,customer!$A$1:$F$16,6,FALSE)</f>
        <v>Silver</v>
      </c>
      <c r="Q12" t="str">
        <f>VLOOKUP(C12,customer!$A$1:$F$16,4,FALSE)</f>
        <v>Oceanview</v>
      </c>
      <c r="R12" t="str">
        <f t="shared" si="3"/>
        <v>Q1 - 2023</v>
      </c>
    </row>
    <row r="13" spans="1:18" x14ac:dyDescent="0.2">
      <c r="A13" t="s">
        <v>65</v>
      </c>
      <c r="B13" s="2">
        <v>45000</v>
      </c>
      <c r="C13" t="s">
        <v>66</v>
      </c>
      <c r="D13" t="s">
        <v>67</v>
      </c>
      <c r="E13" t="s">
        <v>31</v>
      </c>
      <c r="F13" t="s">
        <v>24</v>
      </c>
      <c r="G13" t="s">
        <v>68</v>
      </c>
      <c r="H13">
        <v>1</v>
      </c>
      <c r="I13">
        <v>150</v>
      </c>
      <c r="J13">
        <v>0.1</v>
      </c>
      <c r="K13" t="s">
        <v>34</v>
      </c>
      <c r="L13" t="s">
        <v>19</v>
      </c>
      <c r="M13" s="35">
        <f t="shared" si="0"/>
        <v>135</v>
      </c>
      <c r="N13" t="str">
        <f t="shared" si="1"/>
        <v>March</v>
      </c>
      <c r="O13" t="str">
        <f t="shared" si="2"/>
        <v>2023</v>
      </c>
      <c r="P13" t="str">
        <f>VLOOKUP(C13,customer!$A$1:$F$16,6,FALSE)</f>
        <v>Bronze</v>
      </c>
      <c r="Q13" t="str">
        <f>VLOOKUP(C13,customer!$A$1:$F$16,4,FALSE)</f>
        <v>Metroville</v>
      </c>
      <c r="R13" t="str">
        <f t="shared" si="3"/>
        <v>Q1 - 2023</v>
      </c>
    </row>
    <row r="14" spans="1:18" x14ac:dyDescent="0.2">
      <c r="A14" t="s">
        <v>69</v>
      </c>
      <c r="B14" s="2">
        <v>45017</v>
      </c>
      <c r="C14" t="s">
        <v>48</v>
      </c>
      <c r="D14" t="s">
        <v>49</v>
      </c>
      <c r="E14" t="s">
        <v>50</v>
      </c>
      <c r="F14" t="s">
        <v>32</v>
      </c>
      <c r="G14" t="s">
        <v>70</v>
      </c>
      <c r="H14">
        <v>1</v>
      </c>
      <c r="I14">
        <v>300</v>
      </c>
      <c r="J14">
        <v>0.05</v>
      </c>
      <c r="K14" t="s">
        <v>52</v>
      </c>
      <c r="L14" t="s">
        <v>39</v>
      </c>
      <c r="M14" s="35">
        <f t="shared" si="0"/>
        <v>285</v>
      </c>
      <c r="N14" t="str">
        <f t="shared" si="1"/>
        <v>April</v>
      </c>
      <c r="O14" t="str">
        <f t="shared" si="2"/>
        <v>2023</v>
      </c>
      <c r="P14" t="str">
        <f>VLOOKUP(C14,customer!$A$1:$F$16,6,FALSE)</f>
        <v>Gold</v>
      </c>
      <c r="Q14" t="str">
        <f>VLOOKUP(C14,customer!$A$1:$F$16,4,FALSE)</f>
        <v>Centralia</v>
      </c>
      <c r="R14" t="str">
        <f t="shared" si="3"/>
        <v>Q2 - 2023</v>
      </c>
    </row>
    <row r="15" spans="1:18" x14ac:dyDescent="0.2">
      <c r="A15" t="s">
        <v>71</v>
      </c>
      <c r="B15" s="2">
        <v>45021</v>
      </c>
      <c r="C15" t="s">
        <v>72</v>
      </c>
      <c r="D15" t="s">
        <v>73</v>
      </c>
      <c r="E15" t="s">
        <v>15</v>
      </c>
      <c r="F15" t="s">
        <v>16</v>
      </c>
      <c r="G15" t="s">
        <v>74</v>
      </c>
      <c r="H15">
        <v>1</v>
      </c>
      <c r="I15">
        <v>400</v>
      </c>
      <c r="J15">
        <v>0</v>
      </c>
      <c r="K15" t="s">
        <v>18</v>
      </c>
      <c r="L15" t="s">
        <v>19</v>
      </c>
      <c r="M15" s="35">
        <f t="shared" si="0"/>
        <v>400</v>
      </c>
      <c r="N15" t="str">
        <f t="shared" si="1"/>
        <v>April</v>
      </c>
      <c r="O15" t="str">
        <f t="shared" si="2"/>
        <v>2023</v>
      </c>
      <c r="P15" t="str">
        <f>VLOOKUP(C15,customer!$A$1:$F$16,6,FALSE)</f>
        <v>Platinum</v>
      </c>
      <c r="Q15" t="str">
        <f>VLOOKUP(C15,customer!$A$1:$F$16,4,FALSE)</f>
        <v>Springfield</v>
      </c>
      <c r="R15" t="str">
        <f t="shared" si="3"/>
        <v>Q2 - 2023</v>
      </c>
    </row>
    <row r="16" spans="1:18" x14ac:dyDescent="0.2">
      <c r="A16" t="s">
        <v>75</v>
      </c>
      <c r="B16" s="2">
        <v>45026</v>
      </c>
      <c r="C16" t="s">
        <v>62</v>
      </c>
      <c r="D16" t="s">
        <v>63</v>
      </c>
      <c r="E16" t="s">
        <v>23</v>
      </c>
      <c r="F16" t="s">
        <v>37</v>
      </c>
      <c r="G16" t="s">
        <v>76</v>
      </c>
      <c r="H16">
        <v>2</v>
      </c>
      <c r="I16">
        <v>18</v>
      </c>
      <c r="J16">
        <v>0</v>
      </c>
      <c r="K16" t="s">
        <v>26</v>
      </c>
      <c r="L16" t="s">
        <v>35</v>
      </c>
      <c r="M16" s="35">
        <f t="shared" si="0"/>
        <v>36</v>
      </c>
      <c r="N16" t="str">
        <f t="shared" si="1"/>
        <v>April</v>
      </c>
      <c r="O16" t="str">
        <f t="shared" si="2"/>
        <v>2023</v>
      </c>
      <c r="P16" t="str">
        <f>VLOOKUP(C16,customer!$A$1:$F$16,6,FALSE)</f>
        <v>Silver</v>
      </c>
      <c r="Q16" t="str">
        <f>VLOOKUP(C16,customer!$A$1:$F$16,4,FALSE)</f>
        <v>Oceanview</v>
      </c>
      <c r="R16" t="str">
        <f t="shared" si="3"/>
        <v>Q2 - 2023</v>
      </c>
    </row>
    <row r="17" spans="1:18" x14ac:dyDescent="0.2">
      <c r="A17" t="s">
        <v>143</v>
      </c>
      <c r="B17" s="2">
        <v>44967</v>
      </c>
      <c r="C17" t="s">
        <v>133</v>
      </c>
      <c r="D17" t="str">
        <f>VLOOKUP(C17,customer!$A$1:$B$16,2,FALSE)</f>
        <v>John</v>
      </c>
      <c r="E17" t="s">
        <v>31</v>
      </c>
      <c r="F17" t="s">
        <v>37</v>
      </c>
      <c r="G17" t="s">
        <v>156</v>
      </c>
      <c r="H17">
        <v>10</v>
      </c>
      <c r="I17">
        <v>120</v>
      </c>
      <c r="J17">
        <v>0</v>
      </c>
      <c r="K17" t="s">
        <v>18</v>
      </c>
      <c r="L17" t="s">
        <v>39</v>
      </c>
      <c r="M17" s="35">
        <f t="shared" si="0"/>
        <v>1200</v>
      </c>
      <c r="N17" t="str">
        <f t="shared" si="1"/>
        <v>February</v>
      </c>
      <c r="O17" t="str">
        <f t="shared" si="2"/>
        <v>2023</v>
      </c>
      <c r="P17" t="str">
        <f>VLOOKUP(C17,customer!$A$1:$F$16,6,FALSE)</f>
        <v>Gold</v>
      </c>
      <c r="Q17">
        <f>VLOOKUP(C17,customer!$A$1:$F$16,4,FALSE)</f>
        <v>0</v>
      </c>
      <c r="R17" t="str">
        <f t="shared" si="3"/>
        <v>Q1 - 2023</v>
      </c>
    </row>
    <row r="18" spans="1:18" x14ac:dyDescent="0.2">
      <c r="A18" t="s">
        <v>144</v>
      </c>
      <c r="B18" s="2">
        <v>44969</v>
      </c>
      <c r="C18" t="s">
        <v>134</v>
      </c>
      <c r="D18" t="str">
        <f>VLOOKUP(C18,customer!$A$1:$B$16,2,FALSE)</f>
        <v>Alice</v>
      </c>
      <c r="E18" t="s">
        <v>15</v>
      </c>
      <c r="F18" t="s">
        <v>44</v>
      </c>
      <c r="G18" t="s">
        <v>54</v>
      </c>
      <c r="H18">
        <v>1</v>
      </c>
      <c r="I18">
        <v>15</v>
      </c>
      <c r="J18">
        <v>0.1</v>
      </c>
      <c r="K18" t="s">
        <v>46</v>
      </c>
      <c r="L18" t="s">
        <v>19</v>
      </c>
      <c r="M18" s="35">
        <f t="shared" si="0"/>
        <v>13.5</v>
      </c>
      <c r="N18" t="str">
        <f t="shared" si="1"/>
        <v>February</v>
      </c>
      <c r="O18" t="str">
        <f t="shared" si="2"/>
        <v>2023</v>
      </c>
      <c r="P18" t="str">
        <f>VLOOKUP(C18,customer!$A$1:$F$16,6,FALSE)</f>
        <v>Silver</v>
      </c>
      <c r="Q18">
        <f>VLOOKUP(C18,customer!$A$1:$F$16,4,FALSE)</f>
        <v>0</v>
      </c>
      <c r="R18" t="str">
        <f t="shared" si="3"/>
        <v>Q1 - 2023</v>
      </c>
    </row>
    <row r="19" spans="1:18" x14ac:dyDescent="0.2">
      <c r="A19" t="s">
        <v>145</v>
      </c>
      <c r="B19" s="2">
        <v>44986</v>
      </c>
      <c r="C19" t="s">
        <v>135</v>
      </c>
      <c r="D19" t="str">
        <f>VLOOKUP(C19,customer!$A$1:$B$16,2,FALSE)</f>
        <v>Charlie</v>
      </c>
      <c r="E19" t="s">
        <v>43</v>
      </c>
      <c r="F19" t="s">
        <v>16</v>
      </c>
      <c r="G19" t="s">
        <v>56</v>
      </c>
      <c r="H19">
        <v>2</v>
      </c>
      <c r="I19">
        <v>5</v>
      </c>
      <c r="J19">
        <v>0</v>
      </c>
      <c r="K19" t="s">
        <v>52</v>
      </c>
      <c r="L19" t="s">
        <v>27</v>
      </c>
      <c r="M19" s="35">
        <f t="shared" si="0"/>
        <v>10</v>
      </c>
      <c r="N19" t="str">
        <f t="shared" si="1"/>
        <v>March</v>
      </c>
      <c r="O19" t="str">
        <f t="shared" si="2"/>
        <v>2023</v>
      </c>
      <c r="P19" t="str">
        <f>VLOOKUP(C19,customer!$A$1:$F$16,6,FALSE)</f>
        <v>Bronze</v>
      </c>
      <c r="Q19">
        <f>VLOOKUP(C19,customer!$A$1:$F$16,4,FALSE)</f>
        <v>0</v>
      </c>
      <c r="R19" t="str">
        <f t="shared" si="3"/>
        <v>Q1 - 2023</v>
      </c>
    </row>
    <row r="20" spans="1:18" x14ac:dyDescent="0.2">
      <c r="A20" t="s">
        <v>146</v>
      </c>
      <c r="B20" s="2">
        <v>44990</v>
      </c>
      <c r="C20" t="s">
        <v>136</v>
      </c>
      <c r="D20" t="str">
        <f>VLOOKUP(C20,customer!$A$1:$B$16,2,FALSE)</f>
        <v>David</v>
      </c>
      <c r="E20" t="s">
        <v>50</v>
      </c>
      <c r="F20" t="s">
        <v>24</v>
      </c>
      <c r="G20" t="s">
        <v>58</v>
      </c>
      <c r="H20">
        <v>1</v>
      </c>
      <c r="I20">
        <v>99</v>
      </c>
      <c r="J20">
        <v>0</v>
      </c>
      <c r="K20" t="s">
        <v>26</v>
      </c>
      <c r="L20" t="s">
        <v>35</v>
      </c>
      <c r="M20" s="35">
        <f t="shared" si="0"/>
        <v>99</v>
      </c>
      <c r="N20" t="str">
        <f t="shared" si="1"/>
        <v>March</v>
      </c>
      <c r="O20" t="str">
        <f t="shared" si="2"/>
        <v>2023</v>
      </c>
      <c r="P20" t="str">
        <f>VLOOKUP(C20,customer!$A$1:$F$16,6,FALSE)</f>
        <v>Platinum</v>
      </c>
      <c r="Q20">
        <f>VLOOKUP(C20,customer!$A$1:$F$16,4,FALSE)</f>
        <v>0</v>
      </c>
      <c r="R20" t="str">
        <f t="shared" si="3"/>
        <v>Q1 - 2023</v>
      </c>
    </row>
    <row r="21" spans="1:18" x14ac:dyDescent="0.2">
      <c r="A21" t="s">
        <v>147</v>
      </c>
      <c r="B21" s="2">
        <v>44991</v>
      </c>
      <c r="C21" t="s">
        <v>137</v>
      </c>
      <c r="D21" t="str">
        <f>VLOOKUP(C21,customer!$A$1:$B$16,2,FALSE)</f>
        <v>Emily</v>
      </c>
      <c r="E21" t="s">
        <v>23</v>
      </c>
      <c r="F21" t="s">
        <v>32</v>
      </c>
      <c r="G21" t="s">
        <v>60</v>
      </c>
      <c r="H21">
        <v>1</v>
      </c>
      <c r="I21">
        <v>60</v>
      </c>
      <c r="J21">
        <v>0.05</v>
      </c>
      <c r="K21" t="s">
        <v>34</v>
      </c>
      <c r="L21" t="s">
        <v>19</v>
      </c>
      <c r="M21" s="35">
        <f t="shared" si="0"/>
        <v>57</v>
      </c>
      <c r="N21" t="str">
        <f t="shared" si="1"/>
        <v>March</v>
      </c>
      <c r="O21" t="str">
        <f t="shared" si="2"/>
        <v>2023</v>
      </c>
      <c r="P21" t="str">
        <f>VLOOKUP(C21,customer!$A$1:$F$16,6,FALSE)</f>
        <v>Platinum</v>
      </c>
      <c r="Q21">
        <f>VLOOKUP(C21,customer!$A$1:$F$16,4,FALSE)</f>
        <v>0</v>
      </c>
      <c r="R21" t="str">
        <f t="shared" si="3"/>
        <v>Q1 - 2023</v>
      </c>
    </row>
    <row r="22" spans="1:18" x14ac:dyDescent="0.2">
      <c r="A22" t="s">
        <v>148</v>
      </c>
      <c r="B22" s="2">
        <v>44992</v>
      </c>
      <c r="C22" t="s">
        <v>21</v>
      </c>
      <c r="D22" t="str">
        <f>VLOOKUP(C22,customer!$A$1:$B$16,2,FALSE)</f>
        <v>David Lee</v>
      </c>
      <c r="E22" t="s">
        <v>31</v>
      </c>
      <c r="F22" t="s">
        <v>37</v>
      </c>
      <c r="G22" t="s">
        <v>64</v>
      </c>
      <c r="H22">
        <v>1</v>
      </c>
      <c r="I22">
        <v>70</v>
      </c>
      <c r="J22">
        <v>0</v>
      </c>
      <c r="K22" t="s">
        <v>46</v>
      </c>
      <c r="L22" t="s">
        <v>39</v>
      </c>
      <c r="M22" s="35">
        <f t="shared" si="0"/>
        <v>70</v>
      </c>
      <c r="N22" t="str">
        <f t="shared" si="1"/>
        <v>March</v>
      </c>
      <c r="O22" t="str">
        <f t="shared" si="2"/>
        <v>2023</v>
      </c>
      <c r="P22" t="str">
        <f>VLOOKUP(C22,customer!$A$1:$F$16,6,FALSE)</f>
        <v>Silver</v>
      </c>
      <c r="Q22" t="str">
        <f>VLOOKUP(C22,customer!$A$1:$F$16,4,FALSE)</f>
        <v>Lakeside</v>
      </c>
      <c r="R22" t="str">
        <f t="shared" si="3"/>
        <v>Q1 - 2023</v>
      </c>
    </row>
    <row r="23" spans="1:18" x14ac:dyDescent="0.2">
      <c r="A23" t="s">
        <v>149</v>
      </c>
      <c r="B23" s="2">
        <v>44993</v>
      </c>
      <c r="C23" t="s">
        <v>29</v>
      </c>
      <c r="D23" t="str">
        <f>VLOOKUP(C23,customer!$A$1:$B$16,2,FALSE)</f>
        <v>Emily White</v>
      </c>
      <c r="E23" t="s">
        <v>43</v>
      </c>
      <c r="F23" t="s">
        <v>16</v>
      </c>
      <c r="G23" t="s">
        <v>68</v>
      </c>
      <c r="H23">
        <v>2</v>
      </c>
      <c r="I23">
        <v>40</v>
      </c>
      <c r="J23">
        <v>0.15</v>
      </c>
      <c r="K23" t="s">
        <v>18</v>
      </c>
      <c r="L23" t="s">
        <v>35</v>
      </c>
      <c r="M23" s="35">
        <f t="shared" si="0"/>
        <v>68</v>
      </c>
      <c r="N23" t="str">
        <f t="shared" si="1"/>
        <v>March</v>
      </c>
      <c r="O23" t="str">
        <f t="shared" si="2"/>
        <v>2023</v>
      </c>
      <c r="P23" t="str">
        <f>VLOOKUP(C23,customer!$A$1:$F$16,6,FALSE)</f>
        <v>Gold</v>
      </c>
      <c r="Q23" t="str">
        <f>VLOOKUP(C23,customer!$A$1:$F$16,4,FALSE)</f>
        <v>Rivertown</v>
      </c>
      <c r="R23" t="str">
        <f t="shared" si="3"/>
        <v>Q1 - 2023</v>
      </c>
    </row>
    <row r="24" spans="1:18" x14ac:dyDescent="0.2">
      <c r="A24" t="s">
        <v>150</v>
      </c>
      <c r="B24" s="2">
        <v>44994</v>
      </c>
      <c r="C24" t="s">
        <v>41</v>
      </c>
      <c r="D24" t="str">
        <f>VLOOKUP(C24,customer!$A$1:$B$16,2,FALSE)</f>
        <v>Michael Brown</v>
      </c>
      <c r="E24" t="s">
        <v>15</v>
      </c>
      <c r="F24" t="s">
        <v>44</v>
      </c>
      <c r="G24" t="s">
        <v>70</v>
      </c>
      <c r="H24">
        <v>1</v>
      </c>
      <c r="I24">
        <v>250</v>
      </c>
      <c r="J24">
        <v>0</v>
      </c>
      <c r="K24" t="s">
        <v>26</v>
      </c>
      <c r="L24" t="s">
        <v>27</v>
      </c>
      <c r="M24" s="35">
        <f t="shared" si="0"/>
        <v>250</v>
      </c>
      <c r="N24" t="str">
        <f t="shared" si="1"/>
        <v>March</v>
      </c>
      <c r="O24" t="str">
        <f t="shared" si="2"/>
        <v>2023</v>
      </c>
      <c r="P24" t="str">
        <f>VLOOKUP(C24,customer!$A$1:$F$16,6,FALSE)</f>
        <v>Bronze</v>
      </c>
      <c r="Q24" t="str">
        <f>VLOOKUP(C24,customer!$A$1:$F$16,4,FALSE)</f>
        <v>Hillside</v>
      </c>
      <c r="R24" t="str">
        <f t="shared" si="3"/>
        <v>Q1 - 2023</v>
      </c>
    </row>
    <row r="25" spans="1:18" x14ac:dyDescent="0.2">
      <c r="A25" t="s">
        <v>151</v>
      </c>
      <c r="B25" s="2">
        <v>44995</v>
      </c>
      <c r="C25" t="s">
        <v>137</v>
      </c>
      <c r="D25" t="str">
        <f>VLOOKUP(C25,customer!$A$1:$B$16,2,FALSE)</f>
        <v>Emily</v>
      </c>
      <c r="E25" t="s">
        <v>23</v>
      </c>
      <c r="F25" t="s">
        <v>24</v>
      </c>
      <c r="G25" t="s">
        <v>74</v>
      </c>
      <c r="H25">
        <v>1</v>
      </c>
      <c r="I25">
        <v>20</v>
      </c>
      <c r="J25">
        <v>0</v>
      </c>
      <c r="K25" t="s">
        <v>34</v>
      </c>
      <c r="L25" t="s">
        <v>19</v>
      </c>
      <c r="M25" s="35">
        <f t="shared" si="0"/>
        <v>20</v>
      </c>
      <c r="N25" t="str">
        <f t="shared" si="1"/>
        <v>March</v>
      </c>
      <c r="O25" t="str">
        <f t="shared" si="2"/>
        <v>2023</v>
      </c>
      <c r="P25" t="str">
        <f>VLOOKUP(C25,customer!$A$1:$F$16,6,FALSE)</f>
        <v>Platinum</v>
      </c>
      <c r="Q25">
        <f>VLOOKUP(C25,customer!$A$1:$F$16,4,FALSE)</f>
        <v>0</v>
      </c>
      <c r="R25" t="str">
        <f t="shared" si="3"/>
        <v>Q1 - 2023</v>
      </c>
    </row>
    <row r="26" spans="1:18" x14ac:dyDescent="0.2">
      <c r="A26" t="s">
        <v>152</v>
      </c>
      <c r="B26" s="2">
        <v>44967</v>
      </c>
      <c r="C26" t="s">
        <v>135</v>
      </c>
      <c r="D26" t="str">
        <f>VLOOKUP(C26,customer!$A$1:$B$16,2,FALSE)</f>
        <v>Charlie</v>
      </c>
      <c r="E26" t="s">
        <v>31</v>
      </c>
      <c r="F26" t="s">
        <v>32</v>
      </c>
      <c r="G26" t="s">
        <v>76</v>
      </c>
      <c r="H26">
        <v>1</v>
      </c>
      <c r="I26">
        <v>150</v>
      </c>
      <c r="J26">
        <v>0</v>
      </c>
      <c r="K26" t="s">
        <v>52</v>
      </c>
      <c r="L26" t="s">
        <v>39</v>
      </c>
      <c r="M26" s="35">
        <f t="shared" si="0"/>
        <v>150</v>
      </c>
      <c r="N26" t="str">
        <f t="shared" si="1"/>
        <v>February</v>
      </c>
      <c r="O26" t="str">
        <f t="shared" si="2"/>
        <v>2023</v>
      </c>
      <c r="P26" t="str">
        <f>VLOOKUP(C26,customer!$A$1:$F$16,6,FALSE)</f>
        <v>Bronze</v>
      </c>
      <c r="Q26">
        <f>VLOOKUP(C26,customer!$A$1:$F$16,4,FALSE)</f>
        <v>0</v>
      </c>
      <c r="R26" t="str">
        <f t="shared" si="3"/>
        <v>Q1 - 2023</v>
      </c>
    </row>
    <row r="27" spans="1:18" x14ac:dyDescent="0.2">
      <c r="A27" t="s">
        <v>153</v>
      </c>
      <c r="B27" s="2">
        <v>44968</v>
      </c>
      <c r="C27" t="s">
        <v>136</v>
      </c>
      <c r="D27" t="str">
        <f>VLOOKUP(C27,customer!$A$1:$B$16,2,FALSE)</f>
        <v>David</v>
      </c>
      <c r="E27" t="s">
        <v>43</v>
      </c>
      <c r="F27" t="s">
        <v>24</v>
      </c>
      <c r="G27" t="s">
        <v>157</v>
      </c>
      <c r="H27">
        <v>3</v>
      </c>
      <c r="I27">
        <v>300</v>
      </c>
      <c r="J27">
        <v>0.1</v>
      </c>
      <c r="K27" t="s">
        <v>18</v>
      </c>
      <c r="L27" t="s">
        <v>19</v>
      </c>
      <c r="M27" s="35">
        <f t="shared" si="0"/>
        <v>810</v>
      </c>
      <c r="N27" t="str">
        <f t="shared" si="1"/>
        <v>February</v>
      </c>
      <c r="O27" t="str">
        <f t="shared" si="2"/>
        <v>2023</v>
      </c>
      <c r="P27" t="str">
        <f>VLOOKUP(C27,customer!$A$1:$F$16,6,FALSE)</f>
        <v>Platinum</v>
      </c>
      <c r="Q27">
        <f>VLOOKUP(C27,customer!$A$1:$F$16,4,FALSE)</f>
        <v>0</v>
      </c>
      <c r="R27" t="str">
        <f t="shared" si="3"/>
        <v>Q1 - 2023</v>
      </c>
    </row>
    <row r="28" spans="1:18" x14ac:dyDescent="0.2">
      <c r="A28" t="s">
        <v>154</v>
      </c>
      <c r="B28" s="2">
        <v>44969</v>
      </c>
      <c r="C28" t="s">
        <v>137</v>
      </c>
      <c r="D28" t="str">
        <f>VLOOKUP(C28,customer!$A$1:$B$16,2,FALSE)</f>
        <v>Emily</v>
      </c>
      <c r="E28" t="s">
        <v>15</v>
      </c>
      <c r="F28" t="s">
        <v>32</v>
      </c>
      <c r="G28" t="s">
        <v>158</v>
      </c>
      <c r="H28">
        <v>6</v>
      </c>
      <c r="I28">
        <v>15</v>
      </c>
      <c r="J28">
        <v>0.05</v>
      </c>
      <c r="K28" t="s">
        <v>26</v>
      </c>
      <c r="L28" t="s">
        <v>35</v>
      </c>
      <c r="M28" s="35">
        <f t="shared" si="0"/>
        <v>85.5</v>
      </c>
      <c r="N28" t="str">
        <f t="shared" si="1"/>
        <v>February</v>
      </c>
      <c r="O28" t="str">
        <f t="shared" si="2"/>
        <v>2023</v>
      </c>
      <c r="P28" t="str">
        <f>VLOOKUP(C28,customer!$A$1:$F$16,6,FALSE)</f>
        <v>Platinum</v>
      </c>
      <c r="Q28">
        <f>VLOOKUP(C28,customer!$A$1:$F$16,4,FALSE)</f>
        <v>0</v>
      </c>
      <c r="R28" t="str">
        <f t="shared" si="3"/>
        <v>Q1 - 2023</v>
      </c>
    </row>
    <row r="29" spans="1:18" x14ac:dyDescent="0.2">
      <c r="A29" t="s">
        <v>155</v>
      </c>
      <c r="B29" s="2">
        <v>44970</v>
      </c>
      <c r="C29" t="s">
        <v>48</v>
      </c>
      <c r="D29" t="str">
        <f>VLOOKUP(C29,customer!$A$1:$B$16,2,FALSE)</f>
        <v>Jessica Green</v>
      </c>
      <c r="E29" t="s">
        <v>23</v>
      </c>
      <c r="F29" t="s">
        <v>37</v>
      </c>
      <c r="G29" t="s">
        <v>159</v>
      </c>
      <c r="H29">
        <v>4</v>
      </c>
      <c r="I29">
        <v>5</v>
      </c>
      <c r="J29">
        <v>0</v>
      </c>
      <c r="K29" t="s">
        <v>52</v>
      </c>
      <c r="L29" t="s">
        <v>27</v>
      </c>
      <c r="M29" s="35">
        <f t="shared" si="0"/>
        <v>20</v>
      </c>
      <c r="N29" t="str">
        <f t="shared" si="1"/>
        <v>February</v>
      </c>
      <c r="O29" t="str">
        <f t="shared" si="2"/>
        <v>2023</v>
      </c>
      <c r="P29" t="str">
        <f>VLOOKUP(C29,customer!$A$1:$F$16,6,FALSE)</f>
        <v>Gold</v>
      </c>
      <c r="Q29" t="str">
        <f>VLOOKUP(C29,customer!$A$1:$F$16,4,FALSE)</f>
        <v>Centralia</v>
      </c>
      <c r="R29" t="str">
        <f t="shared" si="3"/>
        <v>Q1 - 2023</v>
      </c>
    </row>
    <row r="36" spans="1:6" x14ac:dyDescent="0.2">
      <c r="A36" s="6" t="s">
        <v>166</v>
      </c>
    </row>
    <row r="37" spans="1:6" ht="17" x14ac:dyDescent="0.25">
      <c r="A37" s="8" t="s">
        <v>5</v>
      </c>
      <c r="B37" t="s">
        <v>16</v>
      </c>
      <c r="C37" t="s">
        <v>24</v>
      </c>
      <c r="D37" t="s">
        <v>32</v>
      </c>
      <c r="E37" t="s">
        <v>37</v>
      </c>
      <c r="F37" t="s">
        <v>44</v>
      </c>
    </row>
    <row r="38" spans="1:6" x14ac:dyDescent="0.2">
      <c r="A38" s="1" t="s">
        <v>165</v>
      </c>
      <c r="B38">
        <v>0.02</v>
      </c>
      <c r="C38">
        <v>0.03</v>
      </c>
      <c r="D38">
        <v>0.01</v>
      </c>
      <c r="E38">
        <v>0</v>
      </c>
      <c r="F38">
        <v>5.0000000000000001E-3</v>
      </c>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2E235-4254-6344-8D58-860007F86202}">
  <dimension ref="A1:G18"/>
  <sheetViews>
    <sheetView zoomScale="144" workbookViewId="0">
      <selection activeCell="C13" sqref="C13"/>
    </sheetView>
  </sheetViews>
  <sheetFormatPr baseColWidth="10" defaultRowHeight="16" x14ac:dyDescent="0.2"/>
  <cols>
    <col min="2" max="2" width="16.1640625" customWidth="1"/>
    <col min="3" max="3" width="26" customWidth="1"/>
    <col min="6" max="6" width="22" customWidth="1"/>
  </cols>
  <sheetData>
    <row r="1" spans="1:7" x14ac:dyDescent="0.2">
      <c r="A1" s="1" t="s">
        <v>2</v>
      </c>
      <c r="B1" s="1" t="s">
        <v>3</v>
      </c>
      <c r="C1" s="1" t="s">
        <v>77</v>
      </c>
      <c r="D1" s="1" t="s">
        <v>78</v>
      </c>
      <c r="E1" s="1" t="s">
        <v>79</v>
      </c>
      <c r="F1" s="1" t="s">
        <v>80</v>
      </c>
      <c r="G1" s="1" t="s">
        <v>81</v>
      </c>
    </row>
    <row r="2" spans="1:7" x14ac:dyDescent="0.2">
      <c r="A2" t="s">
        <v>13</v>
      </c>
      <c r="B2" t="s">
        <v>14</v>
      </c>
      <c r="C2" t="s">
        <v>82</v>
      </c>
      <c r="D2" t="s">
        <v>83</v>
      </c>
      <c r="E2" t="s">
        <v>84</v>
      </c>
      <c r="F2" t="s">
        <v>85</v>
      </c>
      <c r="G2" s="2">
        <v>44691</v>
      </c>
    </row>
    <row r="3" spans="1:7" x14ac:dyDescent="0.2">
      <c r="A3" t="s">
        <v>29</v>
      </c>
      <c r="B3" t="s">
        <v>30</v>
      </c>
      <c r="C3" t="s">
        <v>86</v>
      </c>
      <c r="D3" t="s">
        <v>87</v>
      </c>
      <c r="E3" t="s">
        <v>88</v>
      </c>
      <c r="F3" t="s">
        <v>89</v>
      </c>
      <c r="G3" s="2">
        <v>44734</v>
      </c>
    </row>
    <row r="4" spans="1:7" x14ac:dyDescent="0.2">
      <c r="A4" t="s">
        <v>21</v>
      </c>
      <c r="B4" t="s">
        <v>22</v>
      </c>
      <c r="C4" t="s">
        <v>90</v>
      </c>
      <c r="D4" t="s">
        <v>91</v>
      </c>
      <c r="E4" t="s">
        <v>92</v>
      </c>
      <c r="F4" t="s">
        <v>93</v>
      </c>
      <c r="G4" s="2">
        <v>44743</v>
      </c>
    </row>
    <row r="5" spans="1:7" x14ac:dyDescent="0.2">
      <c r="A5" t="s">
        <v>41</v>
      </c>
      <c r="B5" t="s">
        <v>42</v>
      </c>
      <c r="C5" t="s">
        <v>94</v>
      </c>
      <c r="D5" t="s">
        <v>95</v>
      </c>
      <c r="E5" t="s">
        <v>96</v>
      </c>
      <c r="F5" t="s">
        <v>97</v>
      </c>
      <c r="G5" s="2">
        <v>44788</v>
      </c>
    </row>
    <row r="6" spans="1:7" x14ac:dyDescent="0.2">
      <c r="A6" t="s">
        <v>48</v>
      </c>
      <c r="B6" t="s">
        <v>49</v>
      </c>
      <c r="C6" t="s">
        <v>98</v>
      </c>
      <c r="D6" t="s">
        <v>99</v>
      </c>
      <c r="E6" t="s">
        <v>100</v>
      </c>
      <c r="F6" t="s">
        <v>89</v>
      </c>
      <c r="G6" s="2">
        <v>44807</v>
      </c>
    </row>
    <row r="7" spans="1:7" x14ac:dyDescent="0.2">
      <c r="A7" t="s">
        <v>62</v>
      </c>
      <c r="B7" t="s">
        <v>63</v>
      </c>
      <c r="C7" t="s">
        <v>101</v>
      </c>
      <c r="D7" t="s">
        <v>102</v>
      </c>
      <c r="E7" t="s">
        <v>92</v>
      </c>
      <c r="F7" t="s">
        <v>93</v>
      </c>
      <c r="G7" s="2">
        <v>44845</v>
      </c>
    </row>
    <row r="8" spans="1:7" x14ac:dyDescent="0.2">
      <c r="A8" t="s">
        <v>66</v>
      </c>
      <c r="B8" t="s">
        <v>67</v>
      </c>
      <c r="C8" t="s">
        <v>103</v>
      </c>
      <c r="D8" t="s">
        <v>104</v>
      </c>
      <c r="E8" t="s">
        <v>88</v>
      </c>
      <c r="F8" t="s">
        <v>97</v>
      </c>
      <c r="G8" s="2">
        <v>44885</v>
      </c>
    </row>
    <row r="9" spans="1:7" x14ac:dyDescent="0.2">
      <c r="A9" t="s">
        <v>72</v>
      </c>
      <c r="B9" t="s">
        <v>73</v>
      </c>
      <c r="C9" t="s">
        <v>105</v>
      </c>
      <c r="D9" t="s">
        <v>83</v>
      </c>
      <c r="E9" t="s">
        <v>84</v>
      </c>
      <c r="F9" t="s">
        <v>85</v>
      </c>
      <c r="G9" s="2">
        <v>44900</v>
      </c>
    </row>
    <row r="10" spans="1:7" x14ac:dyDescent="0.2">
      <c r="A10" t="s">
        <v>106</v>
      </c>
      <c r="B10" t="s">
        <v>107</v>
      </c>
      <c r="C10" t="s">
        <v>108</v>
      </c>
      <c r="D10" t="s">
        <v>87</v>
      </c>
      <c r="E10" t="s">
        <v>88</v>
      </c>
      <c r="F10" t="s">
        <v>93</v>
      </c>
      <c r="G10" s="2">
        <v>44927</v>
      </c>
    </row>
    <row r="11" spans="1:7" x14ac:dyDescent="0.2">
      <c r="A11" t="s">
        <v>109</v>
      </c>
      <c r="B11" t="s">
        <v>110</v>
      </c>
      <c r="C11" t="s">
        <v>111</v>
      </c>
      <c r="D11" t="s">
        <v>91</v>
      </c>
      <c r="E11" t="s">
        <v>92</v>
      </c>
      <c r="F11" t="s">
        <v>89</v>
      </c>
      <c r="G11" s="2">
        <v>44936</v>
      </c>
    </row>
    <row r="12" spans="1:7" x14ac:dyDescent="0.2">
      <c r="A12" t="s">
        <v>133</v>
      </c>
      <c r="B12" s="5" t="s">
        <v>138</v>
      </c>
      <c r="C12" t="str">
        <f>CONCATENATE(B12,".124@gmail.com")</f>
        <v>John.124@gmail.com</v>
      </c>
      <c r="E12" t="s">
        <v>140</v>
      </c>
      <c r="F12" t="s">
        <v>89</v>
      </c>
      <c r="G12" s="2">
        <v>44937</v>
      </c>
    </row>
    <row r="13" spans="1:7" x14ac:dyDescent="0.2">
      <c r="A13" t="s">
        <v>134</v>
      </c>
      <c r="B13" s="5" t="s">
        <v>18</v>
      </c>
      <c r="C13" t="str">
        <f t="shared" ref="C13:C16" si="0">CONCATENATE(B13,".124@gmail.com")</f>
        <v>Alice.124@gmail.com</v>
      </c>
      <c r="E13" t="s">
        <v>141</v>
      </c>
      <c r="F13" t="s">
        <v>93</v>
      </c>
      <c r="G13" s="2">
        <v>44938</v>
      </c>
    </row>
    <row r="14" spans="1:7" x14ac:dyDescent="0.2">
      <c r="A14" t="s">
        <v>135</v>
      </c>
      <c r="B14" s="5" t="s">
        <v>34</v>
      </c>
      <c r="C14" t="str">
        <f t="shared" si="0"/>
        <v>Charlie.124@gmail.com</v>
      </c>
      <c r="E14" t="s">
        <v>142</v>
      </c>
      <c r="F14" t="s">
        <v>97</v>
      </c>
      <c r="G14" s="2">
        <v>44939</v>
      </c>
    </row>
    <row r="15" spans="1:7" x14ac:dyDescent="0.2">
      <c r="A15" t="s">
        <v>136</v>
      </c>
      <c r="B15" s="5" t="s">
        <v>46</v>
      </c>
      <c r="C15" t="str">
        <f t="shared" si="0"/>
        <v>David.124@gmail.com</v>
      </c>
      <c r="E15" t="s">
        <v>92</v>
      </c>
      <c r="F15" t="s">
        <v>85</v>
      </c>
      <c r="G15" s="2">
        <v>44940</v>
      </c>
    </row>
    <row r="16" spans="1:7" x14ac:dyDescent="0.2">
      <c r="A16" t="s">
        <v>137</v>
      </c>
      <c r="B16" s="5" t="s">
        <v>139</v>
      </c>
      <c r="C16" t="str">
        <f t="shared" si="0"/>
        <v>Emily.124@gmail.com</v>
      </c>
      <c r="E16" t="s">
        <v>88</v>
      </c>
      <c r="F16" t="s">
        <v>85</v>
      </c>
      <c r="G16" s="2">
        <v>44941</v>
      </c>
    </row>
    <row r="17" spans="2:2" x14ac:dyDescent="0.2">
      <c r="B17" s="5"/>
    </row>
    <row r="18" spans="2:2" x14ac:dyDescent="0.2">
      <c r="B18" s="5"/>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2B1EA-3061-994A-8CC1-C5907C950010}">
  <dimension ref="A1:P83"/>
  <sheetViews>
    <sheetView tabSelected="1" topLeftCell="A15" zoomScale="112" workbookViewId="0">
      <selection activeCell="J55" sqref="J55"/>
    </sheetView>
  </sheetViews>
  <sheetFormatPr baseColWidth="10" defaultRowHeight="16" x14ac:dyDescent="0.2"/>
  <cols>
    <col min="1" max="1" width="15" bestFit="1" customWidth="1"/>
    <col min="2" max="2" width="16" bestFit="1" customWidth="1"/>
    <col min="3" max="3" width="6.33203125" bestFit="1" customWidth="1"/>
    <col min="4" max="4" width="10.5" bestFit="1" customWidth="1"/>
    <col min="5" max="5" width="18.6640625" customWidth="1"/>
    <col min="6" max="6" width="11.83203125" bestFit="1" customWidth="1"/>
    <col min="7" max="7" width="13" bestFit="1" customWidth="1"/>
    <col min="8" max="8" width="15.1640625" bestFit="1" customWidth="1"/>
    <col min="11" max="11" width="15" bestFit="1" customWidth="1"/>
    <col min="12" max="12" width="16" bestFit="1" customWidth="1"/>
    <col min="13" max="13" width="5.5" bestFit="1" customWidth="1"/>
    <col min="14" max="14" width="10.6640625" bestFit="1" customWidth="1"/>
    <col min="15" max="15" width="4" bestFit="1" customWidth="1"/>
    <col min="16" max="16" width="10.5" bestFit="1" customWidth="1"/>
    <col min="18" max="18" width="20.33203125" customWidth="1"/>
  </cols>
  <sheetData>
    <row r="1" spans="1:13" ht="16" customHeight="1" x14ac:dyDescent="0.2">
      <c r="A1" s="3" t="s">
        <v>112</v>
      </c>
      <c r="B1" s="27"/>
      <c r="C1" s="27"/>
      <c r="D1" s="27"/>
      <c r="E1" s="27"/>
      <c r="F1" s="27"/>
      <c r="G1" s="27"/>
      <c r="H1" s="27"/>
      <c r="I1" s="27"/>
      <c r="J1" s="27"/>
      <c r="K1" s="30"/>
      <c r="L1" s="25"/>
      <c r="M1" s="26"/>
    </row>
    <row r="2" spans="1:13" x14ac:dyDescent="0.2">
      <c r="A2" s="28"/>
      <c r="B2" s="29"/>
      <c r="C2" s="29"/>
      <c r="D2" s="29"/>
      <c r="E2" s="29"/>
      <c r="F2" s="29"/>
      <c r="G2" s="29"/>
      <c r="H2" s="29"/>
      <c r="I2" s="29"/>
      <c r="J2" s="29"/>
      <c r="K2" s="31"/>
      <c r="L2" s="26"/>
      <c r="M2" s="26"/>
    </row>
    <row r="3" spans="1:13" x14ac:dyDescent="0.2">
      <c r="A3" s="28"/>
      <c r="B3" s="29"/>
      <c r="C3" s="29"/>
      <c r="D3" s="29"/>
      <c r="E3" s="29"/>
      <c r="F3" s="29"/>
      <c r="G3" s="29"/>
      <c r="H3" s="29"/>
      <c r="I3" s="29"/>
      <c r="J3" s="29"/>
      <c r="K3" s="31"/>
      <c r="L3" s="26"/>
      <c r="M3" s="26"/>
    </row>
    <row r="4" spans="1:13" x14ac:dyDescent="0.2">
      <c r="A4" s="28"/>
      <c r="B4" s="29"/>
      <c r="C4" s="29"/>
      <c r="D4" s="29"/>
      <c r="E4" s="29"/>
      <c r="F4" s="29"/>
      <c r="G4" s="29"/>
      <c r="H4" s="29"/>
      <c r="I4" s="29"/>
      <c r="J4" s="29"/>
      <c r="K4" s="31"/>
      <c r="L4" s="26"/>
      <c r="M4" s="26"/>
    </row>
    <row r="5" spans="1:13" x14ac:dyDescent="0.2">
      <c r="A5" s="28"/>
      <c r="B5" s="29"/>
      <c r="C5" s="29"/>
      <c r="D5" s="29"/>
      <c r="E5" s="29"/>
      <c r="F5" s="29"/>
      <c r="G5" s="29"/>
      <c r="H5" s="29"/>
      <c r="I5" s="29"/>
      <c r="J5" s="29"/>
      <c r="K5" s="31"/>
      <c r="L5" s="26"/>
      <c r="M5" s="26"/>
    </row>
    <row r="6" spans="1:13" x14ac:dyDescent="0.2">
      <c r="A6" s="28"/>
      <c r="B6" s="29"/>
      <c r="C6" s="29"/>
      <c r="D6" s="29"/>
      <c r="E6" s="29"/>
      <c r="F6" s="29"/>
      <c r="G6" s="29"/>
      <c r="H6" s="29"/>
      <c r="I6" s="29"/>
      <c r="J6" s="29"/>
      <c r="K6" s="31"/>
      <c r="L6" s="26"/>
      <c r="M6" s="26"/>
    </row>
    <row r="7" spans="1:13" x14ac:dyDescent="0.2">
      <c r="A7" s="28"/>
      <c r="B7" s="29"/>
      <c r="C7" s="29"/>
      <c r="D7" s="29"/>
      <c r="E7" s="29"/>
      <c r="F7" s="29"/>
      <c r="G7" s="29"/>
      <c r="H7" s="29"/>
      <c r="I7" s="29"/>
      <c r="J7" s="29"/>
      <c r="K7" s="31"/>
      <c r="L7" s="26"/>
      <c r="M7" s="26"/>
    </row>
    <row r="8" spans="1:13" x14ac:dyDescent="0.2">
      <c r="A8" s="28"/>
      <c r="B8" s="29"/>
      <c r="C8" s="29"/>
      <c r="D8" s="29"/>
      <c r="E8" s="29"/>
      <c r="F8" s="29"/>
      <c r="G8" s="29"/>
      <c r="H8" s="29"/>
      <c r="I8" s="29"/>
      <c r="J8" s="29"/>
      <c r="K8" s="31"/>
      <c r="L8" s="26"/>
      <c r="M8" s="26"/>
    </row>
    <row r="9" spans="1:13" x14ac:dyDescent="0.2">
      <c r="A9" s="28"/>
      <c r="B9" s="29"/>
      <c r="C9" s="29"/>
      <c r="D9" s="29"/>
      <c r="E9" s="29"/>
      <c r="F9" s="29"/>
      <c r="G9" s="29"/>
      <c r="H9" s="29"/>
      <c r="I9" s="29"/>
      <c r="J9" s="29"/>
      <c r="K9" s="31"/>
      <c r="L9" s="26"/>
      <c r="M9" s="26"/>
    </row>
    <row r="10" spans="1:13" x14ac:dyDescent="0.2">
      <c r="A10" s="28"/>
      <c r="B10" s="29"/>
      <c r="C10" s="29"/>
      <c r="D10" s="29"/>
      <c r="E10" s="29"/>
      <c r="F10" s="29"/>
      <c r="G10" s="29"/>
      <c r="H10" s="29"/>
      <c r="I10" s="29"/>
      <c r="J10" s="29"/>
      <c r="K10" s="31"/>
      <c r="L10" s="26"/>
      <c r="M10" s="26"/>
    </row>
    <row r="11" spans="1:13" x14ac:dyDescent="0.2">
      <c r="A11" s="28"/>
      <c r="B11" s="29"/>
      <c r="C11" s="29"/>
      <c r="D11" s="29"/>
      <c r="E11" s="29"/>
      <c r="F11" s="29"/>
      <c r="G11" s="29"/>
      <c r="H11" s="29"/>
      <c r="I11" s="29"/>
      <c r="J11" s="29"/>
      <c r="K11" s="31"/>
      <c r="L11" s="26"/>
      <c r="M11" s="26"/>
    </row>
    <row r="12" spans="1:13" ht="17" thickBot="1" x14ac:dyDescent="0.25">
      <c r="A12" s="32"/>
      <c r="B12" s="33"/>
      <c r="C12" s="33"/>
      <c r="D12" s="33"/>
      <c r="E12" s="33"/>
      <c r="F12" s="33"/>
      <c r="G12" s="33"/>
      <c r="H12" s="33"/>
      <c r="I12" s="33"/>
      <c r="J12" s="33"/>
      <c r="K12" s="34"/>
      <c r="L12" s="26"/>
      <c r="M12" s="26"/>
    </row>
    <row r="13" spans="1:13" x14ac:dyDescent="0.2">
      <c r="M13" s="22"/>
    </row>
    <row r="14" spans="1:13" x14ac:dyDescent="0.2">
      <c r="M14" s="22"/>
    </row>
    <row r="15" spans="1:13" x14ac:dyDescent="0.2">
      <c r="A15" s="4"/>
      <c r="M15" s="22"/>
    </row>
    <row r="16" spans="1:13" x14ac:dyDescent="0.2">
      <c r="A16" s="4" t="s">
        <v>113</v>
      </c>
      <c r="M16" s="22"/>
    </row>
    <row r="17" spans="1:15" x14ac:dyDescent="0.2">
      <c r="A17" s="4" t="s">
        <v>114</v>
      </c>
      <c r="M17" s="22"/>
    </row>
    <row r="18" spans="1:15" ht="17" thickBot="1" x14ac:dyDescent="0.25">
      <c r="A18" s="4" t="s">
        <v>115</v>
      </c>
      <c r="M18" s="22"/>
    </row>
    <row r="19" spans="1:15" ht="17" thickBot="1" x14ac:dyDescent="0.25">
      <c r="A19" s="4" t="s">
        <v>116</v>
      </c>
      <c r="H19" s="7">
        <f>SUM(sales!H2:H29)</f>
        <v>68</v>
      </c>
    </row>
    <row r="20" spans="1:15" ht="17" thickBot="1" x14ac:dyDescent="0.25">
      <c r="A20" s="4" t="s">
        <v>117</v>
      </c>
      <c r="H20" s="7">
        <f>AVERAGE(sales!I2:I29)</f>
        <v>127.53571428571429</v>
      </c>
    </row>
    <row r="21" spans="1:15" ht="17" thickBot="1" x14ac:dyDescent="0.25">
      <c r="A21" s="4" t="s">
        <v>118</v>
      </c>
      <c r="H21" s="7">
        <f>MAX(sales!M2:M29)</f>
        <v>1615</v>
      </c>
    </row>
    <row r="22" spans="1:15" ht="17" thickBot="1" x14ac:dyDescent="0.25">
      <c r="A22" s="4" t="s">
        <v>119</v>
      </c>
      <c r="H22" s="7">
        <f>COUNTA(sales!A2:A29)</f>
        <v>28</v>
      </c>
    </row>
    <row r="23" spans="1:15" ht="17" thickBot="1" x14ac:dyDescent="0.25">
      <c r="A23" s="4" t="s">
        <v>120</v>
      </c>
      <c r="H23" s="7">
        <f>COUNTIF(sales!M2:M29,"&gt;200")</f>
        <v>7</v>
      </c>
    </row>
    <row r="24" spans="1:15" x14ac:dyDescent="0.2">
      <c r="A24" s="4"/>
    </row>
    <row r="25" spans="1:15" x14ac:dyDescent="0.2">
      <c r="A25" s="4" t="s">
        <v>121</v>
      </c>
    </row>
    <row r="26" spans="1:15" ht="17" thickBot="1" x14ac:dyDescent="0.25">
      <c r="A26" s="4" t="s">
        <v>122</v>
      </c>
    </row>
    <row r="27" spans="1:15" ht="17" thickBot="1" x14ac:dyDescent="0.25">
      <c r="A27" s="4" t="s">
        <v>123</v>
      </c>
      <c r="O27" s="7" t="str">
        <f>INDEX(customer!$C$1:$C$16,MATCH(customer!B5,customer!$B$1:$B$16,0))</f>
        <v>michael.b@email.com</v>
      </c>
    </row>
    <row r="28" spans="1:15" ht="17" thickBot="1" x14ac:dyDescent="0.25">
      <c r="A28" s="4" t="s">
        <v>124</v>
      </c>
    </row>
    <row r="29" spans="1:15" ht="27" customHeight="1" thickBot="1" x14ac:dyDescent="0.25">
      <c r="A29" s="7">
        <f>HLOOKUP("Apparel",sales!$A$37:$F$38,2,0)</f>
        <v>0.03</v>
      </c>
    </row>
    <row r="30" spans="1:15" x14ac:dyDescent="0.2">
      <c r="A30" s="4" t="s">
        <v>125</v>
      </c>
    </row>
    <row r="31" spans="1:15" x14ac:dyDescent="0.2">
      <c r="A31" s="4" t="s">
        <v>126</v>
      </c>
    </row>
    <row r="32" spans="1:15" x14ac:dyDescent="0.2">
      <c r="A32" s="4" t="s">
        <v>127</v>
      </c>
    </row>
    <row r="33" spans="1:16" x14ac:dyDescent="0.2">
      <c r="A33" s="4" t="s">
        <v>128</v>
      </c>
    </row>
    <row r="34" spans="1:16" x14ac:dyDescent="0.2">
      <c r="A34" s="4" t="s">
        <v>129</v>
      </c>
    </row>
    <row r="35" spans="1:16" x14ac:dyDescent="0.2">
      <c r="A35" s="4" t="s">
        <v>130</v>
      </c>
    </row>
    <row r="36" spans="1:16" x14ac:dyDescent="0.2">
      <c r="A36" s="4" t="s">
        <v>131</v>
      </c>
    </row>
    <row r="37" spans="1:16" x14ac:dyDescent="0.2">
      <c r="A37" s="4" t="s">
        <v>132</v>
      </c>
    </row>
    <row r="38" spans="1:16" ht="17" thickBot="1" x14ac:dyDescent="0.25">
      <c r="A38" s="1"/>
    </row>
    <row r="39" spans="1:16" ht="17" thickBot="1" x14ac:dyDescent="0.25">
      <c r="A39" s="12" t="s">
        <v>167</v>
      </c>
      <c r="B39" s="13"/>
      <c r="D39" s="12" t="s">
        <v>176</v>
      </c>
      <c r="E39" s="13"/>
      <c r="G39" s="12" t="s">
        <v>180</v>
      </c>
      <c r="H39" s="23"/>
      <c r="I39" s="13"/>
      <c r="K39" s="24" t="s">
        <v>186</v>
      </c>
      <c r="L39" s="17"/>
      <c r="M39" s="17"/>
      <c r="N39" s="17"/>
    </row>
    <row r="40" spans="1:16" x14ac:dyDescent="0.2">
      <c r="A40" s="9" t="s">
        <v>168</v>
      </c>
      <c r="B40" t="s">
        <v>170</v>
      </c>
      <c r="D40" s="9" t="s">
        <v>168</v>
      </c>
      <c r="E40" t="s">
        <v>177</v>
      </c>
      <c r="G40" s="9" t="s">
        <v>168</v>
      </c>
      <c r="H40" t="s">
        <v>170</v>
      </c>
      <c r="J40" s="22"/>
      <c r="K40" s="9" t="s">
        <v>187</v>
      </c>
      <c r="L40" s="9" t="s">
        <v>188</v>
      </c>
    </row>
    <row r="41" spans="1:16" x14ac:dyDescent="0.2">
      <c r="A41" s="10" t="s">
        <v>18</v>
      </c>
      <c r="B41" s="11">
        <v>4388</v>
      </c>
      <c r="D41" s="10" t="s">
        <v>39</v>
      </c>
      <c r="E41" s="11">
        <v>298.33333333333331</v>
      </c>
      <c r="G41" s="10" t="s">
        <v>74</v>
      </c>
      <c r="H41" s="11">
        <v>420</v>
      </c>
      <c r="J41" s="22"/>
      <c r="K41" s="9" t="s">
        <v>168</v>
      </c>
      <c r="L41" t="s">
        <v>39</v>
      </c>
      <c r="M41" t="s">
        <v>27</v>
      </c>
      <c r="N41" t="s">
        <v>19</v>
      </c>
      <c r="O41" t="s">
        <v>35</v>
      </c>
      <c r="P41" t="s">
        <v>169</v>
      </c>
    </row>
    <row r="42" spans="1:16" x14ac:dyDescent="0.2">
      <c r="A42" s="10" t="s">
        <v>26</v>
      </c>
      <c r="B42" s="11">
        <v>755.5</v>
      </c>
      <c r="D42" s="10" t="s">
        <v>27</v>
      </c>
      <c r="E42" s="11">
        <v>89.841666666666654</v>
      </c>
      <c r="G42" s="10" t="s">
        <v>17</v>
      </c>
      <c r="H42" s="11">
        <v>1615</v>
      </c>
      <c r="J42" s="22"/>
      <c r="K42" s="10" t="s">
        <v>18</v>
      </c>
      <c r="L42" s="11">
        <v>2</v>
      </c>
      <c r="M42" s="11"/>
      <c r="N42" s="11">
        <v>3</v>
      </c>
      <c r="O42" s="11">
        <v>2</v>
      </c>
      <c r="P42" s="11">
        <v>7</v>
      </c>
    </row>
    <row r="43" spans="1:16" x14ac:dyDescent="0.2">
      <c r="A43" s="10" t="s">
        <v>34</v>
      </c>
      <c r="B43" s="11">
        <v>379.5</v>
      </c>
      <c r="D43" s="10" t="s">
        <v>19</v>
      </c>
      <c r="E43" s="11">
        <v>351.11111111111109</v>
      </c>
      <c r="G43" s="10" t="s">
        <v>156</v>
      </c>
      <c r="H43" s="11">
        <v>1200</v>
      </c>
      <c r="J43" s="22"/>
      <c r="K43" s="10" t="s">
        <v>26</v>
      </c>
      <c r="L43" s="11"/>
      <c r="M43" s="11">
        <v>3</v>
      </c>
      <c r="N43" s="11"/>
      <c r="O43" s="11">
        <v>4</v>
      </c>
      <c r="P43" s="11">
        <v>7</v>
      </c>
    </row>
    <row r="44" spans="1:16" x14ac:dyDescent="0.2">
      <c r="A44" s="10" t="s">
        <v>46</v>
      </c>
      <c r="B44" s="11">
        <v>173.5</v>
      </c>
      <c r="D44" s="10" t="s">
        <v>35</v>
      </c>
      <c r="E44" s="11">
        <v>109.5</v>
      </c>
      <c r="G44" s="10" t="s">
        <v>157</v>
      </c>
      <c r="H44" s="11">
        <v>810</v>
      </c>
      <c r="J44" s="22"/>
      <c r="K44" s="10" t="s">
        <v>34</v>
      </c>
      <c r="L44" s="11"/>
      <c r="M44" s="11"/>
      <c r="N44" s="11">
        <v>4</v>
      </c>
      <c r="O44" s="11">
        <v>1</v>
      </c>
      <c r="P44" s="11">
        <v>5</v>
      </c>
    </row>
    <row r="45" spans="1:16" x14ac:dyDescent="0.2">
      <c r="A45" s="10" t="s">
        <v>52</v>
      </c>
      <c r="B45" s="11">
        <v>559.04999999999995</v>
      </c>
      <c r="D45" s="10" t="s">
        <v>169</v>
      </c>
      <c r="E45" s="11">
        <v>223.41249999999999</v>
      </c>
      <c r="G45" s="10" t="s">
        <v>70</v>
      </c>
      <c r="H45" s="11">
        <v>535</v>
      </c>
      <c r="J45" s="22"/>
      <c r="K45" s="10" t="s">
        <v>46</v>
      </c>
      <c r="L45" s="11">
        <v>2</v>
      </c>
      <c r="M45" s="11"/>
      <c r="N45" s="11">
        <v>2</v>
      </c>
      <c r="O45" s="11"/>
      <c r="P45" s="11">
        <v>4</v>
      </c>
    </row>
    <row r="46" spans="1:16" ht="17" thickBot="1" x14ac:dyDescent="0.25">
      <c r="A46" s="10" t="s">
        <v>169</v>
      </c>
      <c r="B46" s="11">
        <v>6255.55</v>
      </c>
      <c r="G46" s="10" t="s">
        <v>169</v>
      </c>
      <c r="H46" s="11">
        <v>4580</v>
      </c>
      <c r="J46" s="22"/>
      <c r="K46" s="10" t="s">
        <v>52</v>
      </c>
      <c r="L46" s="11">
        <v>2</v>
      </c>
      <c r="M46" s="11">
        <v>3</v>
      </c>
      <c r="N46" s="11"/>
      <c r="O46" s="11"/>
      <c r="P46" s="11">
        <v>5</v>
      </c>
    </row>
    <row r="47" spans="1:16" ht="17" thickBot="1" x14ac:dyDescent="0.25">
      <c r="D47" s="18" t="s">
        <v>178</v>
      </c>
      <c r="E47" s="19"/>
      <c r="J47" s="22"/>
      <c r="K47" s="10" t="s">
        <v>169</v>
      </c>
      <c r="L47" s="11">
        <v>6</v>
      </c>
      <c r="M47" s="11">
        <v>6</v>
      </c>
      <c r="N47" s="11">
        <v>9</v>
      </c>
      <c r="O47" s="11">
        <v>7</v>
      </c>
      <c r="P47" s="11">
        <v>28</v>
      </c>
    </row>
    <row r="48" spans="1:16" ht="17" thickBot="1" x14ac:dyDescent="0.25">
      <c r="A48" s="14" t="s">
        <v>171</v>
      </c>
      <c r="B48" s="15"/>
      <c r="D48" s="20"/>
      <c r="E48" s="21"/>
      <c r="G48" s="12" t="s">
        <v>181</v>
      </c>
      <c r="H48" s="23"/>
      <c r="I48" s="13"/>
      <c r="J48" s="22"/>
    </row>
    <row r="49" spans="1:11" x14ac:dyDescent="0.2">
      <c r="A49" s="9" t="s">
        <v>168</v>
      </c>
      <c r="B49" t="s">
        <v>170</v>
      </c>
      <c r="D49" s="9" t="s">
        <v>168</v>
      </c>
      <c r="E49" t="s">
        <v>179</v>
      </c>
      <c r="G49" s="9" t="s">
        <v>168</v>
      </c>
      <c r="H49" t="s">
        <v>170</v>
      </c>
      <c r="J49" s="22"/>
    </row>
    <row r="50" spans="1:11" x14ac:dyDescent="0.2">
      <c r="A50" s="10" t="s">
        <v>50</v>
      </c>
      <c r="B50" s="11">
        <v>478.05</v>
      </c>
      <c r="D50" s="10" t="s">
        <v>173</v>
      </c>
      <c r="E50" s="11">
        <v>8</v>
      </c>
      <c r="G50" s="10" t="s">
        <v>183</v>
      </c>
      <c r="H50" s="11">
        <v>5534.55</v>
      </c>
      <c r="J50" s="22"/>
    </row>
    <row r="51" spans="1:11" x14ac:dyDescent="0.2">
      <c r="A51" s="16" t="s">
        <v>24</v>
      </c>
      <c r="B51" s="11">
        <v>99</v>
      </c>
      <c r="D51" s="16" t="s">
        <v>24</v>
      </c>
      <c r="E51" s="11">
        <v>5</v>
      </c>
      <c r="G51" s="10" t="s">
        <v>184</v>
      </c>
      <c r="H51" s="11">
        <v>721</v>
      </c>
      <c r="J51" s="22"/>
    </row>
    <row r="52" spans="1:11" x14ac:dyDescent="0.2">
      <c r="A52" s="16" t="s">
        <v>16</v>
      </c>
      <c r="B52" s="11">
        <v>94.05</v>
      </c>
      <c r="D52" s="16" t="s">
        <v>16</v>
      </c>
      <c r="E52" s="11">
        <v>2</v>
      </c>
      <c r="G52" s="10" t="s">
        <v>169</v>
      </c>
      <c r="H52" s="11">
        <v>6255.55</v>
      </c>
      <c r="J52" s="22"/>
    </row>
    <row r="53" spans="1:11" ht="17" thickBot="1" x14ac:dyDescent="0.25">
      <c r="A53" s="16" t="s">
        <v>32</v>
      </c>
      <c r="B53" s="11">
        <v>285</v>
      </c>
      <c r="D53" s="16" t="s">
        <v>32</v>
      </c>
      <c r="E53" s="11">
        <v>1</v>
      </c>
      <c r="J53" s="22"/>
    </row>
    <row r="54" spans="1:11" ht="17" thickBot="1" x14ac:dyDescent="0.25">
      <c r="A54" s="10" t="s">
        <v>31</v>
      </c>
      <c r="B54" s="11">
        <v>1722.5</v>
      </c>
      <c r="D54" s="10" t="s">
        <v>172</v>
      </c>
      <c r="E54" s="11">
        <v>41</v>
      </c>
      <c r="G54" s="12" t="s">
        <v>185</v>
      </c>
      <c r="H54" s="13"/>
      <c r="J54" s="22"/>
    </row>
    <row r="55" spans="1:11" x14ac:dyDescent="0.2">
      <c r="A55" s="16" t="s">
        <v>24</v>
      </c>
      <c r="B55" s="11">
        <v>135</v>
      </c>
      <c r="D55" s="16" t="s">
        <v>24</v>
      </c>
      <c r="E55" s="11">
        <v>5</v>
      </c>
      <c r="G55" s="9" t="s">
        <v>168</v>
      </c>
      <c r="H55" t="s">
        <v>170</v>
      </c>
      <c r="J55" s="22"/>
    </row>
    <row r="56" spans="1:11" x14ac:dyDescent="0.2">
      <c r="A56" s="16" t="s">
        <v>37</v>
      </c>
      <c r="B56" s="11">
        <v>1270</v>
      </c>
      <c r="D56" s="16" t="s">
        <v>37</v>
      </c>
      <c r="E56" s="11">
        <v>17</v>
      </c>
      <c r="G56" s="10" t="s">
        <v>97</v>
      </c>
      <c r="H56" s="36">
        <v>0.10150985924499045</v>
      </c>
      <c r="J56" s="22"/>
    </row>
    <row r="57" spans="1:11" x14ac:dyDescent="0.2">
      <c r="A57" s="16" t="s">
        <v>32</v>
      </c>
      <c r="B57" s="11">
        <v>317.5</v>
      </c>
      <c r="D57" s="16" t="s">
        <v>16</v>
      </c>
      <c r="E57" s="11">
        <v>1</v>
      </c>
      <c r="G57" s="10" t="s">
        <v>89</v>
      </c>
      <c r="H57" s="36">
        <v>0.29326757839038931</v>
      </c>
      <c r="J57" s="22"/>
    </row>
    <row r="58" spans="1:11" x14ac:dyDescent="0.2">
      <c r="A58" s="10" t="s">
        <v>15</v>
      </c>
      <c r="B58" s="11">
        <v>2659</v>
      </c>
      <c r="D58" s="16" t="s">
        <v>44</v>
      </c>
      <c r="E58" s="11">
        <v>11</v>
      </c>
      <c r="G58" s="10" t="s">
        <v>85</v>
      </c>
      <c r="H58" s="36">
        <v>0.54055998273533101</v>
      </c>
      <c r="J58" s="22"/>
      <c r="K58" s="22"/>
    </row>
    <row r="59" spans="1:11" x14ac:dyDescent="0.2">
      <c r="A59" s="16" t="s">
        <v>37</v>
      </c>
      <c r="B59" s="11">
        <v>45</v>
      </c>
      <c r="D59" s="16" t="s">
        <v>32</v>
      </c>
      <c r="E59" s="11">
        <v>7</v>
      </c>
      <c r="G59" s="10" t="s">
        <v>93</v>
      </c>
      <c r="H59" s="36">
        <v>6.4662579629289188E-2</v>
      </c>
      <c r="J59" s="22"/>
      <c r="K59" s="22"/>
    </row>
    <row r="60" spans="1:11" x14ac:dyDescent="0.2">
      <c r="A60" s="16" t="s">
        <v>16</v>
      </c>
      <c r="B60" s="11">
        <v>2265</v>
      </c>
      <c r="D60" s="10" t="s">
        <v>174</v>
      </c>
      <c r="E60" s="11">
        <v>15</v>
      </c>
      <c r="G60" s="10" t="s">
        <v>169</v>
      </c>
      <c r="H60" s="36">
        <v>1</v>
      </c>
    </row>
    <row r="61" spans="1:11" x14ac:dyDescent="0.2">
      <c r="A61" s="16" t="s">
        <v>44</v>
      </c>
      <c r="B61" s="11">
        <v>263.5</v>
      </c>
      <c r="D61" s="16" t="s">
        <v>24</v>
      </c>
      <c r="E61" s="11">
        <v>3</v>
      </c>
    </row>
    <row r="62" spans="1:11" x14ac:dyDescent="0.2">
      <c r="A62" s="16" t="s">
        <v>32</v>
      </c>
      <c r="B62" s="11">
        <v>85.5</v>
      </c>
      <c r="D62" s="16" t="s">
        <v>37</v>
      </c>
      <c r="E62" s="11">
        <v>2</v>
      </c>
    </row>
    <row r="63" spans="1:11" x14ac:dyDescent="0.2">
      <c r="A63" s="10" t="s">
        <v>23</v>
      </c>
      <c r="B63" s="11">
        <v>418</v>
      </c>
      <c r="D63" s="16" t="s">
        <v>16</v>
      </c>
      <c r="E63" s="11">
        <v>5</v>
      </c>
    </row>
    <row r="64" spans="1:11" x14ac:dyDescent="0.2">
      <c r="A64" s="16" t="s">
        <v>24</v>
      </c>
      <c r="B64" s="11">
        <v>265</v>
      </c>
      <c r="D64" s="16" t="s">
        <v>44</v>
      </c>
      <c r="E64" s="11">
        <v>3</v>
      </c>
    </row>
    <row r="65" spans="1:7" x14ac:dyDescent="0.2">
      <c r="A65" s="16" t="s">
        <v>37</v>
      </c>
      <c r="B65" s="11">
        <v>56</v>
      </c>
      <c r="D65" s="16" t="s">
        <v>32</v>
      </c>
      <c r="E65" s="11">
        <v>2</v>
      </c>
    </row>
    <row r="66" spans="1:7" x14ac:dyDescent="0.2">
      <c r="A66" s="16" t="s">
        <v>44</v>
      </c>
      <c r="B66" s="11">
        <v>40</v>
      </c>
      <c r="D66" s="10" t="s">
        <v>175</v>
      </c>
      <c r="E66" s="11">
        <v>4</v>
      </c>
    </row>
    <row r="67" spans="1:7" x14ac:dyDescent="0.2">
      <c r="A67" s="16" t="s">
        <v>32</v>
      </c>
      <c r="B67" s="11">
        <v>57</v>
      </c>
      <c r="D67" s="16" t="s">
        <v>37</v>
      </c>
      <c r="E67" s="11">
        <v>2</v>
      </c>
    </row>
    <row r="68" spans="1:7" x14ac:dyDescent="0.2">
      <c r="A68" s="10" t="s">
        <v>43</v>
      </c>
      <c r="B68" s="11">
        <v>978</v>
      </c>
      <c r="D68" s="16" t="s">
        <v>16</v>
      </c>
      <c r="E68" s="11">
        <v>1</v>
      </c>
    </row>
    <row r="69" spans="1:7" x14ac:dyDescent="0.2">
      <c r="A69" s="16" t="s">
        <v>24</v>
      </c>
      <c r="B69" s="11">
        <v>810</v>
      </c>
      <c r="D69" s="16" t="s">
        <v>32</v>
      </c>
      <c r="E69" s="11">
        <v>1</v>
      </c>
    </row>
    <row r="70" spans="1:7" x14ac:dyDescent="0.2">
      <c r="A70" s="16" t="s">
        <v>37</v>
      </c>
      <c r="B70" s="11">
        <v>40</v>
      </c>
      <c r="D70" s="10" t="s">
        <v>169</v>
      </c>
      <c r="E70" s="11">
        <v>68</v>
      </c>
    </row>
    <row r="71" spans="1:7" x14ac:dyDescent="0.2">
      <c r="A71" s="16" t="s">
        <v>16</v>
      </c>
      <c r="B71" s="11">
        <v>78</v>
      </c>
    </row>
    <row r="72" spans="1:7" x14ac:dyDescent="0.2">
      <c r="A72" s="16" t="s">
        <v>44</v>
      </c>
      <c r="B72" s="11">
        <v>50</v>
      </c>
    </row>
    <row r="73" spans="1:7" x14ac:dyDescent="0.2">
      <c r="A73" s="10" t="s">
        <v>169</v>
      </c>
      <c r="B73" s="11">
        <v>6255.55</v>
      </c>
    </row>
    <row r="77" spans="1:7" x14ac:dyDescent="0.2">
      <c r="A77" s="9" t="s">
        <v>179</v>
      </c>
      <c r="B77" s="9" t="s">
        <v>188</v>
      </c>
    </row>
    <row r="78" spans="1:7" x14ac:dyDescent="0.2">
      <c r="A78" s="9" t="s">
        <v>168</v>
      </c>
      <c r="B78" t="s">
        <v>24</v>
      </c>
      <c r="C78" t="s">
        <v>37</v>
      </c>
      <c r="D78" t="s">
        <v>16</v>
      </c>
      <c r="E78" t="s">
        <v>44</v>
      </c>
      <c r="F78" t="s">
        <v>32</v>
      </c>
      <c r="G78" t="s">
        <v>169</v>
      </c>
    </row>
    <row r="79" spans="1:7" x14ac:dyDescent="0.2">
      <c r="A79" s="10" t="s">
        <v>173</v>
      </c>
      <c r="B79" s="11">
        <v>5</v>
      </c>
      <c r="C79" s="11"/>
      <c r="D79" s="11">
        <v>2</v>
      </c>
      <c r="E79" s="11"/>
      <c r="F79" s="11">
        <v>1</v>
      </c>
      <c r="G79" s="11">
        <v>8</v>
      </c>
    </row>
    <row r="80" spans="1:7" x14ac:dyDescent="0.2">
      <c r="A80" s="10" t="s">
        <v>172</v>
      </c>
      <c r="B80" s="11">
        <v>5</v>
      </c>
      <c r="C80" s="11">
        <v>17</v>
      </c>
      <c r="D80" s="11">
        <v>1</v>
      </c>
      <c r="E80" s="11">
        <v>11</v>
      </c>
      <c r="F80" s="11">
        <v>7</v>
      </c>
      <c r="G80" s="11">
        <v>41</v>
      </c>
    </row>
    <row r="81" spans="1:7" x14ac:dyDescent="0.2">
      <c r="A81" s="10" t="s">
        <v>174</v>
      </c>
      <c r="B81" s="11">
        <v>3</v>
      </c>
      <c r="C81" s="11">
        <v>2</v>
      </c>
      <c r="D81" s="11">
        <v>5</v>
      </c>
      <c r="E81" s="11">
        <v>3</v>
      </c>
      <c r="F81" s="11">
        <v>2</v>
      </c>
      <c r="G81" s="11">
        <v>15</v>
      </c>
    </row>
    <row r="82" spans="1:7" x14ac:dyDescent="0.2">
      <c r="A82" s="10" t="s">
        <v>175</v>
      </c>
      <c r="B82" s="11"/>
      <c r="C82" s="11">
        <v>2</v>
      </c>
      <c r="D82" s="11">
        <v>1</v>
      </c>
      <c r="E82" s="11"/>
      <c r="F82" s="11">
        <v>1</v>
      </c>
      <c r="G82" s="11">
        <v>4</v>
      </c>
    </row>
    <row r="83" spans="1:7" x14ac:dyDescent="0.2">
      <c r="A83" s="10" t="s">
        <v>169</v>
      </c>
      <c r="B83" s="11">
        <v>13</v>
      </c>
      <c r="C83" s="11">
        <v>21</v>
      </c>
      <c r="D83" s="11">
        <v>9</v>
      </c>
      <c r="E83" s="11">
        <v>14</v>
      </c>
      <c r="F83" s="11">
        <v>11</v>
      </c>
      <c r="G83" s="11">
        <v>68</v>
      </c>
    </row>
  </sheetData>
  <mergeCells count="9">
    <mergeCell ref="G54:H54"/>
    <mergeCell ref="K39:N39"/>
    <mergeCell ref="A1:K12"/>
    <mergeCell ref="A39:B39"/>
    <mergeCell ref="A48:B48"/>
    <mergeCell ref="D39:E39"/>
    <mergeCell ref="D47:E48"/>
    <mergeCell ref="G39:I39"/>
    <mergeCell ref="G48:I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sales</vt:lpstr>
      <vt:lpstr>customer</vt:lpstr>
      <vt:lpstr>case study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megna roy</dc:creator>
  <cp:lastModifiedBy>megna roy</cp:lastModifiedBy>
  <dcterms:created xsi:type="dcterms:W3CDTF">2025-06-04T15:39:47Z</dcterms:created>
  <dcterms:modified xsi:type="dcterms:W3CDTF">2025-06-06T15:26:15Z</dcterms:modified>
</cp:coreProperties>
</file>